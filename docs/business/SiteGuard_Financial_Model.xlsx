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2"/>
    <sheet name="Scenario summary" sheetId="2" state="visible" r:id="rId3"/>
    <sheet name="Inputs" sheetId="3" state="visible" r:id="rId4"/>
    <sheet name="Pricing" sheetId="4" state="visible" r:id="rId5"/>
    <sheet name="Base" sheetId="5" state="visible" r:id="rId6"/>
    <sheet name="Conservative" sheetId="6" state="visible" r:id="rId7"/>
    <sheet name="Optimistic" sheetId="7" state="visible" r:id="rId8"/>
    <sheet name="Guardrailed" sheetId="8" state="visible" r:id="rId9"/>
    <sheet name="AI 2x" sheetId="9" state="visible" r:id="rId10"/>
    <sheet name="CAC +50pct" sheetId="10" state="visible" r:id="rId11"/>
    <sheet name="Conversion -25pct" sheetId="11" state="visible" r:id="rId12"/>
    <sheet name="Monitoring 5x" sheetId="12" state="visible" r:id="rId13"/>
    <sheet name="Incidents 3x" sheetId="13" state="visible" r:id="rId14"/>
    <sheet name="Churn +2pp" sheetId="14" state="visible" r:id="rId15"/>
    <sheet name="Break even" sheetId="15" state="visible" r:id="rId16"/>
  </sheets>
  <definedNames>
    <definedName function="false" hidden="false" localSheetId="8" name="_xlnm.Print_Area" vbProcedure="false">'AI 2x'!$A$25:$M$105</definedName>
    <definedName function="false" hidden="false" localSheetId="8" name="_xlnm.Print_Titles" vbProcedure="false">'AI 2x'!$25:$25</definedName>
    <definedName function="false" hidden="true" localSheetId="8" name="_xlnm._FilterDatabase" vbProcedure="false">'AI 2x'!$A$25:$M$105</definedName>
    <definedName function="false" hidden="false" localSheetId="4" name="_xlnm.Print_Area" vbProcedure="false">Base!$A$25:$M$105</definedName>
    <definedName function="false" hidden="false" localSheetId="4" name="_xlnm.Print_Titles" vbProcedure="false">Base!$25:$25</definedName>
    <definedName function="false" hidden="true" localSheetId="4" name="_xlnm._FilterDatabase" vbProcedure="false">Base!$A$25:$M$105</definedName>
    <definedName function="false" hidden="false" localSheetId="9" name="_xlnm.Print_Area" vbProcedure="false">'CAC +50pct'!$A$25:$M$105</definedName>
    <definedName function="false" hidden="false" localSheetId="9" name="_xlnm.Print_Titles" vbProcedure="false">'CAC +50pct'!$25:$25</definedName>
    <definedName function="false" hidden="true" localSheetId="9" name="_xlnm._FilterDatabase" vbProcedure="false">'CAC +50pct'!$A$25:$M$105</definedName>
    <definedName function="false" hidden="false" localSheetId="13" name="_xlnm.Print_Area" vbProcedure="false">'Churn +2pp'!$A$25:$M$105</definedName>
    <definedName function="false" hidden="false" localSheetId="13" name="_xlnm.Print_Titles" vbProcedure="false">'Churn +2pp'!$25:$25</definedName>
    <definedName function="false" hidden="true" localSheetId="13" name="_xlnm._FilterDatabase" vbProcedure="false">'Churn +2pp'!$A$25:$M$105</definedName>
    <definedName function="false" hidden="false" localSheetId="5" name="_xlnm.Print_Area" vbProcedure="false">Conservative!$A$25:$M$105</definedName>
    <definedName function="false" hidden="false" localSheetId="5" name="_xlnm.Print_Titles" vbProcedure="false">Conservative!$25:$25</definedName>
    <definedName function="false" hidden="true" localSheetId="5" name="_xlnm._FilterDatabase" vbProcedure="false">Conservative!$A$25:$M$105</definedName>
    <definedName function="false" hidden="false" localSheetId="10" name="_xlnm.Print_Area" vbProcedure="false">'Conversion -25pct'!$A$25:$M$105</definedName>
    <definedName function="false" hidden="false" localSheetId="10" name="_xlnm.Print_Titles" vbProcedure="false">'Conversion -25pct'!$25:$25</definedName>
    <definedName function="false" hidden="true" localSheetId="10" name="_xlnm._FilterDatabase" vbProcedure="false">'Conversion -25pct'!$A$25:$M$105</definedName>
    <definedName function="false" hidden="false" localSheetId="7" name="_xlnm.Print_Area" vbProcedure="false">Guardrailed!$A$25:$M$105</definedName>
    <definedName function="false" hidden="false" localSheetId="7" name="_xlnm.Print_Titles" vbProcedure="false">Guardrailed!$25:$25</definedName>
    <definedName function="false" hidden="true" localSheetId="7" name="_xlnm._FilterDatabase" vbProcedure="false">Guardrailed!$A$25:$M$105</definedName>
    <definedName function="false" hidden="false" localSheetId="12" name="_xlnm.Print_Area" vbProcedure="false">'Incidents 3x'!$A$25:$M$105</definedName>
    <definedName function="false" hidden="false" localSheetId="12" name="_xlnm.Print_Titles" vbProcedure="false">'Incidents 3x'!$25:$25</definedName>
    <definedName function="false" hidden="true" localSheetId="12" name="_xlnm._FilterDatabase" vbProcedure="false">'Incidents 3x'!$A$25:$M$105</definedName>
    <definedName function="false" hidden="false" localSheetId="11" name="_xlnm.Print_Area" vbProcedure="false">'Monitoring 5x'!$A$25:$M$105</definedName>
    <definedName function="false" hidden="false" localSheetId="11" name="_xlnm.Print_Titles" vbProcedure="false">'Monitoring 5x'!$25:$25</definedName>
    <definedName function="false" hidden="true" localSheetId="11" name="_xlnm._FilterDatabase" vbProcedure="false">'Monitoring 5x'!$A$25:$M$105</definedName>
    <definedName function="false" hidden="false" localSheetId="6" name="_xlnm.Print_Area" vbProcedure="false">Optimistic!$A$25:$M$105</definedName>
    <definedName function="false" hidden="false" localSheetId="6" name="_xlnm.Print_Titles" vbProcedure="false">Optimistic!$25:$25</definedName>
    <definedName function="false" hidden="true" localSheetId="6" name="_xlnm._FilterDatabase" vbProcedure="false">Optimistic!$A$25:$M$105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<sst xmlns="http://schemas.openxmlformats.org/spreadsheetml/2006/main" count="1053" uniqueCount="211">
  <si>
    <t xml:space="preserve">SiteGuard — neatHack 2026 financial model</t>
  </si>
  <si>
    <t xml:space="preserve">Hypothetical planning simulation; not company performance. USD. October 2026–September 2027.</t>
  </si>
  <si>
    <t xml:space="preserve">Proposed prices are user hypotheses. All demand, churn, site use, non-token costs, staffing and cash are author estimates.</t>
  </si>
  <si>
    <t xml:space="preserve">Blue cells are editable inputs. Black cells are formulas. All forecasts open with zero customers and no financing.</t>
  </si>
  <si>
    <t xml:space="preserve">Revenue uses average active customers and prorated monthly charges. Exit MRR uses ending paid customers.</t>
  </si>
  <si>
    <t xml:space="preserve">Model references: OpenAI GPT-5 mini $0.25 input/$2 output per million; GPT-5 $1.25/$10. Standard uncached reference rates, reviewed 12 Oct 2026.</t>
  </si>
  <si>
    <t xml:space="preserve">Stripe US domestic-card reference 2.9% + $0.30; geographic applicability is unconfirmed. Billing software 0.7% is unverified allowance.</t>
  </si>
  <si>
    <t xml:space="preserve">See SiteGuard_Financial_Report.pdf for supplier URLs, detailed assumptions, risks, scope and recommendations.</t>
  </si>
  <si>
    <t xml:space="preserve">MVP features are intended, not independently verified shipped. Production connectors, rollback, multi-region, teams and advanced analytics are future.</t>
  </si>
  <si>
    <t xml:space="preserve">Scenarios: Base, Conservative, Optimistic, Guardrailed and six independent stresses. Scenario sheets inherit visible Inputs/Pricing except stated blue overrides.</t>
  </si>
  <si>
    <t xml:space="preserve">Acquisition spend = new paid customers x CAC. Lower conversion lowers spending as well as revenue; fixed traffic-budget losses may be worse.</t>
  </si>
  <si>
    <t xml:space="preserve">Negative cash is a financing gap, not an ability to operate unfunded. Founder cash pay = zero is a subsidy, not market compensation.</t>
  </si>
  <si>
    <t xml:space="preserve">Guardrailed keeps prices and acquisition unchanged but tests tighter sites/cadence and defers incremental staff. Adoption may fall if caps are restrictive.</t>
  </si>
  <si>
    <t xml:space="preserve">LTV estimates ignore discounting and expansion, and only apply to positive margin. Break-even uses steady-state free population and replacement acquisition.</t>
  </si>
  <si>
    <t xml:space="preserve">This portable workbook reproduces the checked native model with standard Excel formulas; it is not a live connection to the app.</t>
  </si>
  <si>
    <t xml:space="preserve">Hypothetical case</t>
  </si>
  <si>
    <t xml:space="preserve">Exit paid</t>
  </si>
  <si>
    <t xml:space="preserve">Exit MRR</t>
  </si>
  <si>
    <t xml:space="preserve">Year revenue</t>
  </si>
  <si>
    <t xml:space="preserve">Service cost</t>
  </si>
  <si>
    <t xml:space="preserve">Operating expenses</t>
  </si>
  <si>
    <t xml:space="preserve">Operating profit/(loss)</t>
  </si>
  <si>
    <t xml:space="preserve">Year GM</t>
  </si>
  <si>
    <t xml:space="preserve">Max cash need</t>
  </si>
  <si>
    <t xml:space="preserve">Exit cash from $15k</t>
  </si>
  <si>
    <t xml:space="preserve">Base</t>
  </si>
  <si>
    <t xml:space="preserve">Conservative</t>
  </si>
  <si>
    <t xml:space="preserve">Optimistic</t>
  </si>
  <si>
    <t xml:space="preserve">Guardrailed</t>
  </si>
  <si>
    <t xml:space="preserve">AI 2x</t>
  </si>
  <si>
    <t xml:space="preserve">CAC +50pct</t>
  </si>
  <si>
    <t xml:space="preserve">Conversion -25pct</t>
  </si>
  <si>
    <t xml:space="preserve">Monitoring 5x</t>
  </si>
  <si>
    <t xml:space="preserve">Incidents 3x</t>
  </si>
  <si>
    <t xml:space="preserve">Churn +2pp</t>
  </si>
  <si>
    <t xml:space="preserve">Editable assumption</t>
  </si>
  <si>
    <t xml:space="preserve">Base input</t>
  </si>
  <si>
    <t xml:space="preserve">Basis</t>
  </si>
  <si>
    <t xml:space="preserve">Initial monthly signups</t>
  </si>
  <si>
    <t xml:space="preserve">Hypothetical planning assumption</t>
  </si>
  <si>
    <t xml:space="preserve">Monthly signup growth</t>
  </si>
  <si>
    <t xml:space="preserve">Paid conversion rate</t>
  </si>
  <si>
    <t xml:space="preserve">Monthly paid churn</t>
  </si>
  <si>
    <t xml:space="preserve">Monthly free churn</t>
  </si>
  <si>
    <t xml:space="preserve">Blended acquisition CAC</t>
  </si>
  <si>
    <t xml:space="preserve">Incidents per website month</t>
  </si>
  <si>
    <t xml:space="preserve">AI analysis share</t>
  </si>
  <si>
    <t xml:space="preserve">AI input tokens per attempt</t>
  </si>
  <si>
    <t xml:space="preserve">AI billed output tokens per attempt</t>
  </si>
  <si>
    <t xml:space="preserve">AI attempt multiplier</t>
  </si>
  <si>
    <t xml:space="preserve">Tool execution cost per attempt</t>
  </si>
  <si>
    <t xml:space="preserve">Advanced diagnosis share</t>
  </si>
  <si>
    <t xml:space="preserve">Light input dollars per million</t>
  </si>
  <si>
    <t xml:space="preserve">Public reference rate</t>
  </si>
  <si>
    <t xml:space="preserve">Light output dollars per million</t>
  </si>
  <si>
    <t xml:space="preserve">Advanced input dollars per million</t>
  </si>
  <si>
    <t xml:space="preserve">Advanced output dollars per million</t>
  </si>
  <si>
    <t xml:space="preserve">Monitor cost per thousand checks</t>
  </si>
  <si>
    <t xml:space="preserve">Application cost per thousand checks</t>
  </si>
  <si>
    <t xml:space="preserve">Jobs cost per thousand checks</t>
  </si>
  <si>
    <t xml:space="preserve">Database cost per thousand checks</t>
  </si>
  <si>
    <t xml:space="preserve">Observability cost per thousand checks</t>
  </si>
  <si>
    <t xml:space="preserve">Logs cost per thousand checks</t>
  </si>
  <si>
    <t xml:space="preserve">Stored GB per website</t>
  </si>
  <si>
    <t xml:space="preserve">Storage dollars per GB month</t>
  </si>
  <si>
    <t xml:space="preserve">Notifications per incident</t>
  </si>
  <si>
    <t xml:space="preserve">Notification dollars per delivery</t>
  </si>
  <si>
    <t xml:space="preserve">Payment percentage</t>
  </si>
  <si>
    <t xml:space="preserve">Payment dollars per invoice</t>
  </si>
  <si>
    <t xml:space="preserve">Billing software percentage</t>
  </si>
  <si>
    <t xml:space="preserve">Monthly service cost per paid account</t>
  </si>
  <si>
    <t xml:space="preserve">Fixed database cost</t>
  </si>
  <si>
    <t xml:space="preserve">Fixed application cost</t>
  </si>
  <si>
    <t xml:space="preserve">Fixed jobs cost</t>
  </si>
  <si>
    <t xml:space="preserve">Fixed observability cost</t>
  </si>
  <si>
    <t xml:space="preserve">Fixed logging storage cost</t>
  </si>
  <si>
    <t xml:space="preserve">Fixed notification cost</t>
  </si>
  <si>
    <t xml:space="preserve">Fixed security backup cost</t>
  </si>
  <si>
    <t xml:space="preserve">Scale websites per step</t>
  </si>
  <si>
    <t xml:space="preserve">Scale cost per step</t>
  </si>
  <si>
    <t xml:space="preserve">Monthly administration cost</t>
  </si>
  <si>
    <t xml:space="preserve">Contractor monthly budget</t>
  </si>
  <si>
    <t xml:space="preserve">Contractor start month</t>
  </si>
  <si>
    <t xml:space="preserve">Staff monthly budget</t>
  </si>
  <si>
    <t xml:space="preserve">Staff start month</t>
  </si>
  <si>
    <t xml:space="preserve">Founder monthly cash pay</t>
  </si>
  <si>
    <t xml:space="preserve">Cash buffer target</t>
  </si>
  <si>
    <t xml:space="preserve">Starting cash assumption</t>
  </si>
  <si>
    <t xml:space="preserve">AI cost stress multiplier</t>
  </si>
  <si>
    <t xml:space="preserve">Monitoring frequency multiplier</t>
  </si>
  <si>
    <t xml:space="preserve">Incident volume multiplier</t>
  </si>
  <si>
    <t xml:space="preserve">Forecast start date</t>
  </si>
  <si>
    <t xml:space="preserve">2026-10-01</t>
  </si>
  <si>
    <t xml:space="preserve">Starting cash 5k</t>
  </si>
  <si>
    <t xml:space="preserve">Hypothetical alternative starting cash</t>
  </si>
  <si>
    <t xml:space="preserve">Starting cash 15k</t>
  </si>
  <si>
    <t xml:space="preserve">Starting cash 30k</t>
  </si>
  <si>
    <t xml:space="preserve">Plan</t>
  </si>
  <si>
    <t xml:space="preserve">Monthly price</t>
  </si>
  <si>
    <t xml:space="preserve">Paid acquisition mix</t>
  </si>
  <si>
    <t xml:space="preserve">Sites/account</t>
  </si>
  <si>
    <t xml:space="preserve">Interval minutes</t>
  </si>
  <si>
    <t xml:space="preserve">AI eligibility</t>
  </si>
  <si>
    <t xml:space="preserve">Free</t>
  </si>
  <si>
    <t xml:space="preserve">Starter</t>
  </si>
  <si>
    <t xml:space="preserve">Pro</t>
  </si>
  <si>
    <t xml:space="preserve">Business</t>
  </si>
  <si>
    <t xml:space="preserve">Base — hypothetical 12-month forecast</t>
  </si>
  <si>
    <t xml:space="preserve">New signups</t>
  </si>
  <si>
    <t xml:space="preserve">New paid</t>
  </si>
  <si>
    <t xml:space="preserve">New free</t>
  </si>
  <si>
    <t xml:space="preserve">Free | Opening accounts</t>
  </si>
  <si>
    <t xml:space="preserve">Free | New accounts</t>
  </si>
  <si>
    <t xml:space="preserve">Free | Churned accounts</t>
  </si>
  <si>
    <t xml:space="preserve">Free | Ending accounts</t>
  </si>
  <si>
    <t xml:space="preserve">Free | Average accounts</t>
  </si>
  <si>
    <t xml:space="preserve">Free | Revenue</t>
  </si>
  <si>
    <t xml:space="preserve">Free | Monitoring checks</t>
  </si>
  <si>
    <t xml:space="preserve">Free | AI diagnoses</t>
  </si>
  <si>
    <t xml:space="preserve">Free | Variable service expense</t>
  </si>
  <si>
    <t xml:space="preserve">Starter | Opening accounts</t>
  </si>
  <si>
    <t xml:space="preserve">Starter | New accounts</t>
  </si>
  <si>
    <t xml:space="preserve">Starter | Churned accounts</t>
  </si>
  <si>
    <t xml:space="preserve">Starter | Ending accounts</t>
  </si>
  <si>
    <t xml:space="preserve">Starter | Average accounts</t>
  </si>
  <si>
    <t xml:space="preserve">Starter | Revenue</t>
  </si>
  <si>
    <t xml:space="preserve">Starter | Monitoring checks</t>
  </si>
  <si>
    <t xml:space="preserve">Starter | AI diagnoses</t>
  </si>
  <si>
    <t xml:space="preserve">Starter | Variable service expense</t>
  </si>
  <si>
    <t xml:space="preserve">Pro | Opening accounts</t>
  </si>
  <si>
    <t xml:space="preserve">Pro | New accounts</t>
  </si>
  <si>
    <t xml:space="preserve">Pro | Churned accounts</t>
  </si>
  <si>
    <t xml:space="preserve">Pro | Ending accounts</t>
  </si>
  <si>
    <t xml:space="preserve">Pro | Average accounts</t>
  </si>
  <si>
    <t xml:space="preserve">Pro | Revenue</t>
  </si>
  <si>
    <t xml:space="preserve">Pro | Monitoring checks</t>
  </si>
  <si>
    <t xml:space="preserve">Pro | AI diagnoses</t>
  </si>
  <si>
    <t xml:space="preserve">Pro | Variable service expense</t>
  </si>
  <si>
    <t xml:space="preserve">Business | Opening accounts</t>
  </si>
  <si>
    <t xml:space="preserve">Business | New accounts</t>
  </si>
  <si>
    <t xml:space="preserve">Business | Churned accounts</t>
  </si>
  <si>
    <t xml:space="preserve">Business | Ending accounts</t>
  </si>
  <si>
    <t xml:space="preserve">Business | Average accounts</t>
  </si>
  <si>
    <t xml:space="preserve">Business | Revenue</t>
  </si>
  <si>
    <t xml:space="preserve">Business | Monitoring checks</t>
  </si>
  <si>
    <t xml:space="preserve">Business | AI diagnoses</t>
  </si>
  <si>
    <t xml:space="preserve">Business | Variable service expense</t>
  </si>
  <si>
    <t xml:space="preserve">Paying customers ending</t>
  </si>
  <si>
    <t xml:space="preserve">Paying customers average</t>
  </si>
  <si>
    <t xml:space="preserve">Free customers ending</t>
  </si>
  <si>
    <t xml:space="preserve">Revenue</t>
  </si>
  <si>
    <t xml:space="preserve">Monitoring checks</t>
  </si>
  <si>
    <t xml:space="preserve">AI diagnoses</t>
  </si>
  <si>
    <t xml:space="preserve">Variable cost of revenue</t>
  </si>
  <si>
    <t xml:space="preserve">Fixed platform cost</t>
  </si>
  <si>
    <t xml:space="preserve">Capacity scaling cost</t>
  </si>
  <si>
    <t xml:space="preserve">Total cost of revenue</t>
  </si>
  <si>
    <t xml:space="preserve">Gross profit</t>
  </si>
  <si>
    <t xml:space="preserve">Gross margin</t>
  </si>
  <si>
    <t xml:space="preserve">Acquisition expense</t>
  </si>
  <si>
    <t xml:space="preserve">Contractors</t>
  </si>
  <si>
    <t xml:space="preserve">Staff</t>
  </si>
  <si>
    <t xml:space="preserve">Founder pay</t>
  </si>
  <si>
    <t xml:space="preserve">Administration</t>
  </si>
  <si>
    <t xml:space="preserve">Total operating expense</t>
  </si>
  <si>
    <t xml:space="preserve">Operating profit / net cash flow</t>
  </si>
  <si>
    <t xml:space="preserve">Cumulative cash flow</t>
  </si>
  <si>
    <t xml:space="preserve">Cash from editable starting cash</t>
  </si>
  <si>
    <t xml:space="preserve">Cash from $5k</t>
  </si>
  <si>
    <t xml:space="preserve">Cash from $15k</t>
  </si>
  <si>
    <t xml:space="preserve">Cash from $30k</t>
  </si>
  <si>
    <t xml:space="preserve">ARPPU</t>
  </si>
  <si>
    <t xml:space="preserve">ARPU all accounts</t>
  </si>
  <si>
    <t xml:space="preserve">Cost per average paying account</t>
  </si>
  <si>
    <t xml:space="preserve">Gross profit per average paying account</t>
  </si>
  <si>
    <t xml:space="preserve">LTV fully loaded</t>
  </si>
  <si>
    <t xml:space="preserve">LTV to CAC fully loaded</t>
  </si>
  <si>
    <t xml:space="preserve">CAC payback months</t>
  </si>
  <si>
    <t xml:space="preserve">Cash bridge check</t>
  </si>
  <si>
    <t xml:space="preserve">Conservative — hypothetical 12-month forecast</t>
  </si>
  <si>
    <t xml:space="preserve">Optimistic — hypothetical 12-month forecast</t>
  </si>
  <si>
    <t xml:space="preserve">Guardrailed — hypothetical 12-month forecast</t>
  </si>
  <si>
    <t xml:space="preserve">AI 2x — hypothetical 12-month forecast</t>
  </si>
  <si>
    <t xml:space="preserve">CAC +50pct — hypothetical 12-month forecast</t>
  </si>
  <si>
    <t xml:space="preserve">Conversion -25pct — hypothetical 12-month forecast</t>
  </si>
  <si>
    <t xml:space="preserve">Monitoring 5x — hypothetical 12-month forecast</t>
  </si>
  <si>
    <t xml:space="preserve">Incidents 3x — hypothetical 12-month forecast</t>
  </si>
  <si>
    <t xml:space="preserve">Churn +2pp — hypothetical 12-month forecast</t>
  </si>
  <si>
    <t xml:space="preserve">Scale-adjusted steady-state break-even (September base assumptions)</t>
  </si>
  <si>
    <t xml:space="preserve">Steady free to paid</t>
  </si>
  <si>
    <t xml:space="preserve">Paid variable cost/account</t>
  </si>
  <si>
    <t xml:space="preserve">Free variable cost/account</t>
  </si>
  <si>
    <t xml:space="preserve">Contribution after replacement CAC</t>
  </si>
  <si>
    <t xml:space="preserve">Steady sites per paid</t>
  </si>
  <si>
    <t xml:space="preserve">Fixed cost September</t>
  </si>
  <si>
    <t xml:space="preserve">Customers before capacity</t>
  </si>
  <si>
    <t xml:space="preserve">Scale iteration 1</t>
  </si>
  <si>
    <t xml:space="preserve">Scale iteration 2</t>
  </si>
  <si>
    <t xml:space="preserve">Scale iteration 3</t>
  </si>
  <si>
    <t xml:space="preserve">Scale iteration 4</t>
  </si>
  <si>
    <t xml:space="preserve">Scale iteration 5</t>
  </si>
  <si>
    <t xml:space="preserve">Scale iteration 6</t>
  </si>
  <si>
    <t xml:space="preserve">Scale iteration 7</t>
  </si>
  <si>
    <t xml:space="preserve">Scale iteration 8</t>
  </si>
  <si>
    <t xml:space="preserve">Scale iteration 9</t>
  </si>
  <si>
    <t xml:space="preserve">Scale iteration 10</t>
  </si>
  <si>
    <t xml:space="preserve">Scale iteration 11</t>
  </si>
  <si>
    <t xml:space="preserve">Scale iteration 12</t>
  </si>
  <si>
    <t xml:space="preserve">Convergence check</t>
  </si>
  <si>
    <t xml:space="preserve">Profit at threshold</t>
  </si>
  <si>
    <t xml:space="preserve">Profit one fewer customer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</si>
</sst>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\$#,##0;&quot;($&quot;#,##0\)"/>
    <numFmt numFmtId="167" formatCode="0.0%"/>
    <numFmt numFmtId="168" formatCode="0.000"/>
    <numFmt numFmtId="169" formatCode="General"/>
    <numFmt numFmtId="170" formatCode="mmm\-yy"/>
    <numFmt numFmtId="171" formatCode="0.00"/>
    <numFmt numFmtId="172" formatCode="\$#,##0.00;&quot;($&quot;#,##0.00\)"/>
    <numFmt numFmtId="173" formatCode="0.00;[RED]\(0.00\);&quot;Not meaningful&quot;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color rgb="FF172825"/>
      <name val="Cambria"/>
      <family val="0"/>
      <charset val="1"/>
    </font>
    <font>
      <sz val="11"/>
      <color rgb="FF1761A0"/>
      <name val="Cambria"/>
      <family val="0"/>
      <charset val="1"/>
    </font>
    <font>
      <b val="true"/>
      <sz val="11"/>
      <color rgb="FF0E605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6058"/>
        <bgColor rgb="FF1761A0"/>
      </patternFill>
    </fill>
    <fill>
      <patternFill patternType="solid">
        <fgColor rgb="FFF1F6F4"/>
        <bgColor rgb="FFE5F1EE"/>
      </patternFill>
    </fill>
    <fill>
      <patternFill patternType="solid">
        <fgColor rgb="FFE5F1EE"/>
        <bgColor rgb="FFF1F6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5F1EE"/>
        </patternFill>
      </fill>
    </dxf>
    <dxf>
      <fill>
        <patternFill patternType="solid">
          <fgColor rgb="FFF1F6F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E6058"/>
        </patternFill>
      </fill>
    </dxf>
    <dxf>
      <fill>
        <patternFill patternType="solid">
          <fgColor rgb="FF1728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058"/>
      <rgbColor rgb="FFC0C0C0"/>
      <rgbColor rgb="FF808080"/>
      <rgbColor rgb="FF9999FF"/>
      <rgbColor rgb="FF993366"/>
      <rgbColor rgb="FFF1F6F4"/>
      <rgbColor rgb="FFE5F1EE"/>
      <rgbColor rgb="FF660066"/>
      <rgbColor rgb="FFFF8080"/>
      <rgbColor rgb="FF1761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8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5"/>
  </cols>
  <sheetData>
    <row r="1" customFormat="false" ht="33.75" hidden="false" customHeight="true" outlineLevel="0" collapsed="false">
      <c r="A1" s="1" t="s">
        <v>0</v>
      </c>
    </row>
    <row r="2" customFormat="false" ht="33.75" hidden="false" customHeight="true" outlineLevel="0" collapsed="false">
      <c r="A2" s="2" t="s">
        <v>1</v>
      </c>
    </row>
    <row r="3" customFormat="false" ht="33.75" hidden="false" customHeight="true" outlineLevel="0" collapsed="false">
      <c r="A3" s="3" t="s">
        <v>2</v>
      </c>
    </row>
    <row r="4" customFormat="false" ht="33.75" hidden="false" customHeight="true" outlineLevel="0" collapsed="false">
      <c r="A4" s="2" t="s">
        <v>3</v>
      </c>
    </row>
    <row r="5" customFormat="false" ht="33.75" hidden="false" customHeight="true" outlineLevel="0" collapsed="false">
      <c r="A5" s="3" t="s">
        <v>4</v>
      </c>
    </row>
    <row r="6" customFormat="false" ht="33.75" hidden="false" customHeight="true" outlineLevel="0" collapsed="false">
      <c r="A6" s="2" t="s">
        <v>5</v>
      </c>
    </row>
    <row r="7" customFormat="false" ht="33.75" hidden="false" customHeight="true" outlineLevel="0" collapsed="false">
      <c r="A7" s="3" t="s">
        <v>6</v>
      </c>
    </row>
    <row r="8" customFormat="false" ht="33.75" hidden="false" customHeight="true" outlineLevel="0" collapsed="false">
      <c r="A8" s="2" t="s">
        <v>7</v>
      </c>
    </row>
    <row r="9" customFormat="false" ht="33.75" hidden="false" customHeight="true" outlineLevel="0" collapsed="false">
      <c r="A9" s="3" t="s">
        <v>8</v>
      </c>
    </row>
    <row r="10" customFormat="false" ht="33.75" hidden="false" customHeight="true" outlineLevel="0" collapsed="false">
      <c r="A10" s="2" t="s">
        <v>9</v>
      </c>
    </row>
    <row r="11" customFormat="false" ht="33.75" hidden="false" customHeight="true" outlineLevel="0" collapsed="false">
      <c r="A11" s="3" t="s">
        <v>10</v>
      </c>
    </row>
    <row r="12" customFormat="false" ht="33.75" hidden="false" customHeight="true" outlineLevel="0" collapsed="false">
      <c r="A12" s="2" t="s">
        <v>11</v>
      </c>
    </row>
    <row r="13" customFormat="false" ht="33.75" hidden="false" customHeight="true" outlineLevel="0" collapsed="false">
      <c r="A13" s="3" t="s">
        <v>12</v>
      </c>
    </row>
    <row r="14" customFormat="false" ht="33.75" hidden="false" customHeight="true" outlineLevel="0" collapsed="false">
      <c r="A14" s="2" t="s">
        <v>13</v>
      </c>
    </row>
    <row r="15" customFormat="false" ht="33.75" hidden="false" customHeight="true" outlineLevel="0" collapsed="false">
      <c r="A15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0" min="2" style="0" width="17"/>
  </cols>
  <sheetData>
    <row r="1" customFormat="false" ht="15" hidden="false" customHeight="false" outlineLevel="0" collapsed="false">
      <c r="A1" s="1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15" hidden="false" customHeight="false" outlineLevel="0" collapsed="false">
      <c r="A2" s="2" t="s">
        <v>25</v>
      </c>
      <c r="B2" s="5" t="n">
        <f aca="false">Base!M73</f>
        <v>216.490167376392</v>
      </c>
      <c r="C2" s="6" t="n">
        <f aca="false">Base!M76</f>
        <v>5195.7640170334</v>
      </c>
      <c r="D2" s="6" t="n">
        <f aca="false">SUM(Base!B77:M77)</f>
        <v>26670.6247065939</v>
      </c>
      <c r="E2" s="6" t="n">
        <f aca="false">SUM(Base!B83:M83)</f>
        <v>23889.6841842659</v>
      </c>
      <c r="F2" s="6" t="n">
        <f aca="false">SUM(Base!B91:M91)</f>
        <v>37564.4562082608</v>
      </c>
      <c r="G2" s="6" t="n">
        <f aca="false">SUM(Base!B92:M92)</f>
        <v>-34783.5156859328</v>
      </c>
      <c r="H2" s="7" t="n">
        <f aca="false">IFERROR((D2-E2)/D2,0)</f>
        <v>0.104269793187125</v>
      </c>
      <c r="I2" s="6" t="n">
        <f aca="false">MAX(0,-MIN(Base!B93:M93))</f>
        <v>34783.5156859328</v>
      </c>
      <c r="J2" s="6" t="n">
        <f aca="false">Base!M96</f>
        <v>-19783.5156859328</v>
      </c>
    </row>
    <row r="3" customFormat="false" ht="15" hidden="false" customHeight="false" outlineLevel="0" collapsed="false">
      <c r="A3" s="3" t="s">
        <v>26</v>
      </c>
      <c r="B3" s="8" t="n">
        <f aca="false">Conservative!M73</f>
        <v>36.7269340944736</v>
      </c>
      <c r="C3" s="9" t="n">
        <f aca="false">Conservative!M76</f>
        <v>591.303638921025</v>
      </c>
      <c r="D3" s="9" t="n">
        <f aca="false">SUM(Conservative!B77:M77)</f>
        <v>3563.46209677734</v>
      </c>
      <c r="E3" s="9" t="n">
        <f aca="false">SUM(Conservative!B83:M83)</f>
        <v>5641.85273624368</v>
      </c>
      <c r="F3" s="9" t="n">
        <f aca="false">SUM(Conservative!B91:M91)</f>
        <v>30356.088291925</v>
      </c>
      <c r="G3" s="9" t="n">
        <f aca="false">SUM(Conservative!B92:M92)</f>
        <v>-32434.4789313913</v>
      </c>
      <c r="H3" s="10" t="n">
        <f aca="false">IFERROR((D3-E3)/D3,0)</f>
        <v>-0.583250384884397</v>
      </c>
      <c r="I3" s="9" t="n">
        <f aca="false">MAX(0,-MIN(Conservative!B93:M93))</f>
        <v>32434.4789313913</v>
      </c>
      <c r="J3" s="9" t="n">
        <f aca="false">Conservative!M96</f>
        <v>-17434.4789313913</v>
      </c>
    </row>
    <row r="4" customFormat="false" ht="15" hidden="false" customHeight="false" outlineLevel="0" collapsed="false">
      <c r="A4" s="2" t="s">
        <v>27</v>
      </c>
      <c r="B4" s="5" t="n">
        <f aca="false">Optimistic!M73</f>
        <v>948.806076270252</v>
      </c>
      <c r="C4" s="6" t="n">
        <f aca="false">Optimistic!M76</f>
        <v>28938.5853262427</v>
      </c>
      <c r="D4" s="6" t="n">
        <f aca="false">SUM(Optimistic!B77:M77)</f>
        <v>130679.110496116</v>
      </c>
      <c r="E4" s="6" t="n">
        <f aca="false">SUM(Optimistic!B83:M83)</f>
        <v>98525.6604461355</v>
      </c>
      <c r="F4" s="6" t="n">
        <f aca="false">SUM(Optimistic!B91:M91)</f>
        <v>58621.8007594107</v>
      </c>
      <c r="G4" s="6" t="n">
        <f aca="false">SUM(Optimistic!B92:M92)</f>
        <v>-26468.3507094301</v>
      </c>
      <c r="H4" s="7" t="n">
        <f aca="false">IFERROR((D4-E4)/D4,0)</f>
        <v>0.246048889741534</v>
      </c>
      <c r="I4" s="6" t="n">
        <f aca="false">MAX(0,-MIN(Optimistic!B93:M93))</f>
        <v>26468.3507094301</v>
      </c>
      <c r="J4" s="6" t="n">
        <f aca="false">Optimistic!M96</f>
        <v>-11468.3507094301</v>
      </c>
    </row>
    <row r="5" customFormat="false" ht="15" hidden="false" customHeight="false" outlineLevel="0" collapsed="false">
      <c r="A5" s="3" t="s">
        <v>28</v>
      </c>
      <c r="B5" s="8" t="n">
        <f aca="false">Guardrailed!M73</f>
        <v>216.490167376392</v>
      </c>
      <c r="C5" s="9" t="n">
        <f aca="false">Guardrailed!M76</f>
        <v>5195.7640170334</v>
      </c>
      <c r="D5" s="9" t="n">
        <f aca="false">SUM(Guardrailed!B77:M77)</f>
        <v>26670.6247065939</v>
      </c>
      <c r="E5" s="9" t="n">
        <f aca="false">SUM(Guardrailed!B83:M83)</f>
        <v>9681.25885211891</v>
      </c>
      <c r="F5" s="9" t="n">
        <f aca="false">SUM(Guardrailed!B91:M91)</f>
        <v>25564.4562082608</v>
      </c>
      <c r="G5" s="9" t="n">
        <f aca="false">SUM(Guardrailed!B92:M92)</f>
        <v>-8575.09035378583</v>
      </c>
      <c r="H5" s="10" t="n">
        <f aca="false">IFERROR((D5-E5)/D5,0)</f>
        <v>0.637006670873916</v>
      </c>
      <c r="I5" s="9" t="n">
        <f aca="false">MAX(0,-MIN(Guardrailed!B93:M93))</f>
        <v>8762.95527995902</v>
      </c>
      <c r="J5" s="9" t="n">
        <f aca="false">Guardrailed!M96</f>
        <v>6424.90964621418</v>
      </c>
    </row>
    <row r="6" customFormat="false" ht="15" hidden="false" customHeight="false" outlineLevel="0" collapsed="false">
      <c r="A6" s="2" t="s">
        <v>29</v>
      </c>
      <c r="B6" s="5" t="n">
        <f aca="false">'AI 2x'!M73</f>
        <v>216.490167376392</v>
      </c>
      <c r="C6" s="6" t="n">
        <f aca="false">'AI 2x'!M76</f>
        <v>5195.7640170334</v>
      </c>
      <c r="D6" s="6" t="n">
        <f aca="false">SUM('AI 2x'!B77:M77)</f>
        <v>26670.6247065939</v>
      </c>
      <c r="E6" s="6" t="n">
        <f aca="false">SUM('AI 2x'!B83:M83)</f>
        <v>23901.9163995813</v>
      </c>
      <c r="F6" s="6" t="n">
        <f aca="false">SUM('AI 2x'!B91:M91)</f>
        <v>37564.4562082608</v>
      </c>
      <c r="G6" s="6" t="n">
        <f aca="false">SUM('AI 2x'!B92:M92)</f>
        <v>-34795.7479012483</v>
      </c>
      <c r="H6" s="7" t="n">
        <f aca="false">IFERROR((D6-E6)/D6,0)</f>
        <v>0.103811153187125</v>
      </c>
      <c r="I6" s="6" t="n">
        <f aca="false">MAX(0,-MIN('AI 2x'!B93:M93))</f>
        <v>34795.7479012483</v>
      </c>
      <c r="J6" s="6" t="n">
        <f aca="false">'AI 2x'!M96</f>
        <v>-19795.7479012483</v>
      </c>
    </row>
    <row r="7" customFormat="false" ht="15" hidden="false" customHeight="false" outlineLevel="0" collapsed="false">
      <c r="A7" s="3" t="s">
        <v>30</v>
      </c>
      <c r="B7" s="8" t="n">
        <f aca="false">'CAC +50pct'!M73</f>
        <v>216.490167376392</v>
      </c>
      <c r="C7" s="9" t="n">
        <f aca="false">'CAC +50pct'!M76</f>
        <v>5195.7640170334</v>
      </c>
      <c r="D7" s="9" t="n">
        <f aca="false">SUM('CAC +50pct'!B77:M77)</f>
        <v>26670.6247065939</v>
      </c>
      <c r="E7" s="9" t="n">
        <f aca="false">SUM('CAC +50pct'!B83:M83)</f>
        <v>23889.6841842659</v>
      </c>
      <c r="F7" s="9" t="n">
        <f aca="false">SUM('CAC +50pct'!B91:M91)</f>
        <v>42696.6843123912</v>
      </c>
      <c r="G7" s="9" t="n">
        <f aca="false">SUM('CAC +50pct'!B92:M92)</f>
        <v>-39915.7437900632</v>
      </c>
      <c r="H7" s="10" t="n">
        <f aca="false">IFERROR((D7-E7)/D7,0)</f>
        <v>0.104269793187125</v>
      </c>
      <c r="I7" s="9" t="n">
        <f aca="false">MAX(0,-MIN('CAC +50pct'!B93:M93))</f>
        <v>39915.7437900632</v>
      </c>
      <c r="J7" s="9" t="n">
        <f aca="false">'CAC +50pct'!M96</f>
        <v>-24915.7437900632</v>
      </c>
    </row>
    <row r="8" customFormat="false" ht="15" hidden="false" customHeight="false" outlineLevel="0" collapsed="false">
      <c r="A8" s="2" t="s">
        <v>31</v>
      </c>
      <c r="B8" s="5" t="n">
        <f aca="false">'Conversion -25pct'!M73</f>
        <v>162.367625532294</v>
      </c>
      <c r="C8" s="6" t="n">
        <f aca="false">'Conversion -25pct'!M76</f>
        <v>3896.82301277505</v>
      </c>
      <c r="D8" s="6" t="n">
        <f aca="false">SUM('Conversion -25pct'!B77:M77)</f>
        <v>20002.9685299454</v>
      </c>
      <c r="E8" s="6" t="n">
        <f aca="false">SUM('Conversion -25pct'!B83:M83)</f>
        <v>19777.8190445152</v>
      </c>
      <c r="F8" s="6" t="n">
        <f aca="false">SUM('Conversion -25pct'!B91:M91)</f>
        <v>34998.3421561956</v>
      </c>
      <c r="G8" s="6" t="n">
        <f aca="false">SUM('Conversion -25pct'!B92:M92)</f>
        <v>-34773.1926707654</v>
      </c>
      <c r="H8" s="7" t="n">
        <f aca="false">IFERROR((D8-E8)/D8,0)</f>
        <v>0.011255803612005</v>
      </c>
      <c r="I8" s="6" t="n">
        <f aca="false">MAX(0,-MIN('Conversion -25pct'!B93:M93))</f>
        <v>34773.1926707654</v>
      </c>
      <c r="J8" s="6" t="n">
        <f aca="false">'Conversion -25pct'!M96</f>
        <v>-19773.1926707654</v>
      </c>
    </row>
    <row r="9" customFormat="false" ht="15" hidden="false" customHeight="false" outlineLevel="0" collapsed="false">
      <c r="A9" s="3" t="s">
        <v>32</v>
      </c>
      <c r="B9" s="8" t="n">
        <f aca="false">'Monitoring 5x'!M73</f>
        <v>216.490167376392</v>
      </c>
      <c r="C9" s="9" t="n">
        <f aca="false">'Monitoring 5x'!M76</f>
        <v>5195.7640170334</v>
      </c>
      <c r="D9" s="9" t="n">
        <f aca="false">SUM('Monitoring 5x'!B77:M77)</f>
        <v>26670.6247065939</v>
      </c>
      <c r="E9" s="9" t="n">
        <f aca="false">SUM('Monitoring 5x'!B83:M83)</f>
        <v>94369.8941705435</v>
      </c>
      <c r="F9" s="9" t="n">
        <f aca="false">SUM('Monitoring 5x'!B91:M91)</f>
        <v>37564.4562082608</v>
      </c>
      <c r="G9" s="9" t="n">
        <f aca="false">SUM('Monitoring 5x'!B92:M92)</f>
        <v>-105263.72567221</v>
      </c>
      <c r="H9" s="10" t="n">
        <f aca="false">IFERROR((D9-E9)/D9,0)</f>
        <v>-2.53834584711516</v>
      </c>
      <c r="I9" s="9" t="n">
        <f aca="false">MAX(0,-MIN('Monitoring 5x'!B93:M93))</f>
        <v>105263.72567221</v>
      </c>
      <c r="J9" s="9" t="n">
        <f aca="false">'Monitoring 5x'!M96</f>
        <v>-90263.7256722104</v>
      </c>
    </row>
    <row r="10" customFormat="false" ht="15" hidden="false" customHeight="false" outlineLevel="0" collapsed="false">
      <c r="A10" s="2" t="s">
        <v>33</v>
      </c>
      <c r="B10" s="5" t="n">
        <f aca="false">'Incidents 3x'!M73</f>
        <v>216.490167376392</v>
      </c>
      <c r="C10" s="6" t="n">
        <f aca="false">'Incidents 3x'!M76</f>
        <v>5195.7640170334</v>
      </c>
      <c r="D10" s="6" t="n">
        <f aca="false">SUM('Incidents 3x'!B77:M77)</f>
        <v>26670.6247065939</v>
      </c>
      <c r="E10" s="6" t="n">
        <f aca="false">SUM('Incidents 3x'!B83:M83)</f>
        <v>23993.1039840954</v>
      </c>
      <c r="F10" s="6" t="n">
        <f aca="false">SUM('Incidents 3x'!B91:M91)</f>
        <v>37564.4562082608</v>
      </c>
      <c r="G10" s="6" t="n">
        <f aca="false">SUM('Incidents 3x'!B92:M92)</f>
        <v>-34886.9354857623</v>
      </c>
      <c r="H10" s="7" t="n">
        <f aca="false">IFERROR((D10-E10)/D10,0)</f>
        <v>0.100392126242042</v>
      </c>
      <c r="I10" s="6" t="n">
        <f aca="false">MAX(0,-MIN('Incidents 3x'!B93:M93))</f>
        <v>34886.9354857623</v>
      </c>
      <c r="J10" s="6" t="n">
        <f aca="false">'Incidents 3x'!M96</f>
        <v>-19886.9354857623</v>
      </c>
    </row>
    <row r="11" customFormat="false" ht="15" hidden="false" customHeight="false" outlineLevel="0" collapsed="false">
      <c r="A11" s="3" t="s">
        <v>34</v>
      </c>
      <c r="B11" s="8" t="n">
        <f aca="false">'Churn +2pp'!M73</f>
        <v>199.688104643006</v>
      </c>
      <c r="C11" s="9" t="n">
        <f aca="false">'Churn +2pp'!M76</f>
        <v>4792.51451143215</v>
      </c>
      <c r="D11" s="9" t="n">
        <f aca="false">SUM('Churn +2pp'!B77:M77)</f>
        <v>25165.5774811217</v>
      </c>
      <c r="E11" s="9" t="n">
        <f aca="false">SUM('Churn +2pp'!B83:M83)</f>
        <v>23049.7204577849</v>
      </c>
      <c r="F11" s="9" t="n">
        <f aca="false">SUM('Churn +2pp'!B91:M91)</f>
        <v>37564.4562082608</v>
      </c>
      <c r="G11" s="9" t="n">
        <f aca="false">SUM('Churn +2pp'!B92:M92)</f>
        <v>-35448.599184924</v>
      </c>
      <c r="H11" s="10" t="n">
        <f aca="false">IFERROR((D11-E11)/D11,0)</f>
        <v>0.0840774277849996</v>
      </c>
      <c r="I11" s="9" t="n">
        <f aca="false">MAX(0,-MIN('Churn +2pp'!B93:M93))</f>
        <v>35448.599184924</v>
      </c>
      <c r="J11" s="9" t="n">
        <f aca="false">'Churn +2pp'!M96</f>
        <v>-20448.599184924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17"/>
  </cols>
  <sheetData>
    <row r="1" customFormat="false" ht="15" hidden="false" customHeight="false" outlineLevel="0" collapsed="false">
      <c r="A1" s="1" t="s">
        <v>35</v>
      </c>
      <c r="B1" s="4" t="s">
        <v>36</v>
      </c>
      <c r="C1" s="4" t="s">
        <v>37</v>
      </c>
    </row>
    <row r="2" customFormat="false" ht="15" hidden="false" customHeight="false" outlineLevel="0" collapsed="false">
      <c r="A2" s="2" t="s">
        <v>38</v>
      </c>
      <c r="B2" s="11" t="n">
        <v>150</v>
      </c>
      <c r="C2" s="12" t="s">
        <v>39</v>
      </c>
    </row>
    <row r="3" customFormat="false" ht="15" hidden="false" customHeight="false" outlineLevel="0" collapsed="false">
      <c r="A3" s="3" t="s">
        <v>40</v>
      </c>
      <c r="B3" s="13" t="n">
        <v>0.1</v>
      </c>
      <c r="C3" s="14" t="s">
        <v>39</v>
      </c>
    </row>
    <row r="4" customFormat="false" ht="15" hidden="false" customHeight="false" outlineLevel="0" collapsed="false">
      <c r="A4" s="2" t="s">
        <v>41</v>
      </c>
      <c r="B4" s="15" t="n">
        <v>0.08</v>
      </c>
      <c r="C4" s="12" t="s">
        <v>39</v>
      </c>
    </row>
    <row r="5" customFormat="false" ht="15" hidden="false" customHeight="false" outlineLevel="0" collapsed="false">
      <c r="A5" s="3" t="s">
        <v>42</v>
      </c>
      <c r="B5" s="13" t="n">
        <v>0.04</v>
      </c>
      <c r="C5" s="14" t="s">
        <v>39</v>
      </c>
    </row>
    <row r="6" customFormat="false" ht="15" hidden="false" customHeight="false" outlineLevel="0" collapsed="false">
      <c r="A6" s="2" t="s">
        <v>43</v>
      </c>
      <c r="B6" s="15" t="n">
        <v>0.15</v>
      </c>
      <c r="C6" s="12" t="s">
        <v>39</v>
      </c>
    </row>
    <row r="7" customFormat="false" ht="15" hidden="false" customHeight="false" outlineLevel="0" collapsed="false">
      <c r="A7" s="3" t="s">
        <v>44</v>
      </c>
      <c r="B7" s="16" t="n">
        <v>40</v>
      </c>
      <c r="C7" s="14" t="s">
        <v>39</v>
      </c>
    </row>
    <row r="8" customFormat="false" ht="15" hidden="false" customHeight="false" outlineLevel="0" collapsed="false">
      <c r="A8" s="2" t="s">
        <v>45</v>
      </c>
      <c r="B8" s="11" t="n">
        <v>0.4</v>
      </c>
      <c r="C8" s="12" t="s">
        <v>39</v>
      </c>
    </row>
    <row r="9" customFormat="false" ht="15" hidden="false" customHeight="false" outlineLevel="0" collapsed="false">
      <c r="A9" s="3" t="s">
        <v>46</v>
      </c>
      <c r="B9" s="13" t="n">
        <v>0.6</v>
      </c>
      <c r="C9" s="14" t="s">
        <v>39</v>
      </c>
    </row>
    <row r="10" customFormat="false" ht="15" hidden="false" customHeight="false" outlineLevel="0" collapsed="false">
      <c r="A10" s="2" t="s">
        <v>47</v>
      </c>
      <c r="B10" s="11" t="n">
        <v>6000</v>
      </c>
      <c r="C10" s="12" t="s">
        <v>39</v>
      </c>
    </row>
    <row r="11" customFormat="false" ht="15" hidden="false" customHeight="false" outlineLevel="0" collapsed="false">
      <c r="A11" s="3" t="s">
        <v>48</v>
      </c>
      <c r="B11" s="16" t="n">
        <v>1000</v>
      </c>
      <c r="C11" s="14" t="s">
        <v>39</v>
      </c>
    </row>
    <row r="12" customFormat="false" ht="15" hidden="false" customHeight="false" outlineLevel="0" collapsed="false">
      <c r="A12" s="2" t="s">
        <v>49</v>
      </c>
      <c r="B12" s="11" t="n">
        <v>1.2</v>
      </c>
      <c r="C12" s="12" t="s">
        <v>39</v>
      </c>
    </row>
    <row r="13" customFormat="false" ht="15" hidden="false" customHeight="false" outlineLevel="0" collapsed="false">
      <c r="A13" s="3" t="s">
        <v>50</v>
      </c>
      <c r="B13" s="16" t="n">
        <v>0.01</v>
      </c>
      <c r="C13" s="14" t="s">
        <v>39</v>
      </c>
    </row>
    <row r="14" customFormat="false" ht="15" hidden="false" customHeight="false" outlineLevel="0" collapsed="false">
      <c r="A14" s="2" t="s">
        <v>51</v>
      </c>
      <c r="B14" s="15" t="n">
        <v>0.1</v>
      </c>
      <c r="C14" s="12" t="s">
        <v>39</v>
      </c>
    </row>
    <row r="15" customFormat="false" ht="15" hidden="false" customHeight="false" outlineLevel="0" collapsed="false">
      <c r="A15" s="3" t="s">
        <v>52</v>
      </c>
      <c r="B15" s="16" t="n">
        <v>0.25</v>
      </c>
      <c r="C15" s="14" t="s">
        <v>53</v>
      </c>
    </row>
    <row r="16" customFormat="false" ht="15" hidden="false" customHeight="false" outlineLevel="0" collapsed="false">
      <c r="A16" s="2" t="s">
        <v>54</v>
      </c>
      <c r="B16" s="11" t="n">
        <v>2</v>
      </c>
      <c r="C16" s="12" t="s">
        <v>53</v>
      </c>
    </row>
    <row r="17" customFormat="false" ht="15" hidden="false" customHeight="false" outlineLevel="0" collapsed="false">
      <c r="A17" s="3" t="s">
        <v>55</v>
      </c>
      <c r="B17" s="16" t="n">
        <v>1.25</v>
      </c>
      <c r="C17" s="14" t="s">
        <v>53</v>
      </c>
    </row>
    <row r="18" customFormat="false" ht="15" hidden="false" customHeight="false" outlineLevel="0" collapsed="false">
      <c r="A18" s="2" t="s">
        <v>56</v>
      </c>
      <c r="B18" s="11" t="n">
        <v>10</v>
      </c>
      <c r="C18" s="12" t="s">
        <v>53</v>
      </c>
    </row>
    <row r="19" customFormat="false" ht="15" hidden="false" customHeight="false" outlineLevel="0" collapsed="false">
      <c r="A19" s="3" t="s">
        <v>57</v>
      </c>
      <c r="B19" s="16" t="n">
        <v>0.08</v>
      </c>
      <c r="C19" s="14" t="s">
        <v>39</v>
      </c>
    </row>
    <row r="20" customFormat="false" ht="15" hidden="false" customHeight="false" outlineLevel="0" collapsed="false">
      <c r="A20" s="2" t="s">
        <v>58</v>
      </c>
      <c r="B20" s="11" t="n">
        <v>0.03</v>
      </c>
      <c r="C20" s="12" t="s">
        <v>39</v>
      </c>
    </row>
    <row r="21" customFormat="false" ht="15" hidden="false" customHeight="false" outlineLevel="0" collapsed="false">
      <c r="A21" s="3" t="s">
        <v>59</v>
      </c>
      <c r="B21" s="16" t="n">
        <v>0.02</v>
      </c>
      <c r="C21" s="14" t="s">
        <v>39</v>
      </c>
    </row>
    <row r="22" customFormat="false" ht="15" hidden="false" customHeight="false" outlineLevel="0" collapsed="false">
      <c r="A22" s="2" t="s">
        <v>60</v>
      </c>
      <c r="B22" s="11" t="n">
        <v>0.01</v>
      </c>
      <c r="C22" s="12" t="s">
        <v>39</v>
      </c>
    </row>
    <row r="23" customFormat="false" ht="15" hidden="false" customHeight="false" outlineLevel="0" collapsed="false">
      <c r="A23" s="3" t="s">
        <v>61</v>
      </c>
      <c r="B23" s="16" t="n">
        <v>0.015</v>
      </c>
      <c r="C23" s="14" t="s">
        <v>39</v>
      </c>
    </row>
    <row r="24" customFormat="false" ht="15" hidden="false" customHeight="false" outlineLevel="0" collapsed="false">
      <c r="A24" s="2" t="s">
        <v>62</v>
      </c>
      <c r="B24" s="11" t="n">
        <v>0.015</v>
      </c>
      <c r="C24" s="12" t="s">
        <v>39</v>
      </c>
    </row>
    <row r="25" customFormat="false" ht="15" hidden="false" customHeight="false" outlineLevel="0" collapsed="false">
      <c r="A25" s="3" t="s">
        <v>63</v>
      </c>
      <c r="B25" s="16" t="n">
        <v>0.02</v>
      </c>
      <c r="C25" s="14" t="s">
        <v>39</v>
      </c>
    </row>
    <row r="26" customFormat="false" ht="15" hidden="false" customHeight="false" outlineLevel="0" collapsed="false">
      <c r="A26" s="2" t="s">
        <v>64</v>
      </c>
      <c r="B26" s="11" t="n">
        <v>0.1</v>
      </c>
      <c r="C26" s="12" t="s">
        <v>39</v>
      </c>
    </row>
    <row r="27" customFormat="false" ht="15" hidden="false" customHeight="false" outlineLevel="0" collapsed="false">
      <c r="A27" s="3" t="s">
        <v>65</v>
      </c>
      <c r="B27" s="16" t="n">
        <v>2</v>
      </c>
      <c r="C27" s="14" t="s">
        <v>39</v>
      </c>
    </row>
    <row r="28" customFormat="false" ht="15" hidden="false" customHeight="false" outlineLevel="0" collapsed="false">
      <c r="A28" s="2" t="s">
        <v>66</v>
      </c>
      <c r="B28" s="11" t="n">
        <v>0.001</v>
      </c>
      <c r="C28" s="12" t="s">
        <v>39</v>
      </c>
    </row>
    <row r="29" customFormat="false" ht="15" hidden="false" customHeight="false" outlineLevel="0" collapsed="false">
      <c r="A29" s="3" t="s">
        <v>67</v>
      </c>
      <c r="B29" s="13" t="n">
        <v>0.029</v>
      </c>
      <c r="C29" s="14" t="s">
        <v>53</v>
      </c>
    </row>
    <row r="30" customFormat="false" ht="15" hidden="false" customHeight="false" outlineLevel="0" collapsed="false">
      <c r="A30" s="2" t="s">
        <v>68</v>
      </c>
      <c r="B30" s="11" t="n">
        <v>0.3</v>
      </c>
      <c r="C30" s="12" t="s">
        <v>53</v>
      </c>
    </row>
    <row r="31" customFormat="false" ht="15" hidden="false" customHeight="false" outlineLevel="0" collapsed="false">
      <c r="A31" s="3" t="s">
        <v>69</v>
      </c>
      <c r="B31" s="13" t="n">
        <v>0.007</v>
      </c>
      <c r="C31" s="14" t="s">
        <v>39</v>
      </c>
    </row>
    <row r="32" customFormat="false" ht="15" hidden="false" customHeight="false" outlineLevel="0" collapsed="false">
      <c r="A32" s="2" t="s">
        <v>70</v>
      </c>
      <c r="B32" s="11" t="n">
        <v>0.5</v>
      </c>
      <c r="C32" s="12" t="s">
        <v>39</v>
      </c>
    </row>
    <row r="33" customFormat="false" ht="15" hidden="false" customHeight="false" outlineLevel="0" collapsed="false">
      <c r="A33" s="3" t="s">
        <v>71</v>
      </c>
      <c r="B33" s="16" t="n">
        <v>25</v>
      </c>
      <c r="C33" s="14" t="s">
        <v>39</v>
      </c>
    </row>
    <row r="34" customFormat="false" ht="15" hidden="false" customHeight="false" outlineLevel="0" collapsed="false">
      <c r="A34" s="2" t="s">
        <v>72</v>
      </c>
      <c r="B34" s="11" t="n">
        <v>20</v>
      </c>
      <c r="C34" s="12" t="s">
        <v>39</v>
      </c>
    </row>
    <row r="35" customFormat="false" ht="15" hidden="false" customHeight="false" outlineLevel="0" collapsed="false">
      <c r="A35" s="3" t="s">
        <v>73</v>
      </c>
      <c r="B35" s="16" t="n">
        <v>10</v>
      </c>
      <c r="C35" s="14" t="s">
        <v>39</v>
      </c>
    </row>
    <row r="36" customFormat="false" ht="15" hidden="false" customHeight="false" outlineLevel="0" collapsed="false">
      <c r="A36" s="2" t="s">
        <v>74</v>
      </c>
      <c r="B36" s="11" t="n">
        <v>15</v>
      </c>
      <c r="C36" s="12" t="s">
        <v>39</v>
      </c>
    </row>
    <row r="37" customFormat="false" ht="15" hidden="false" customHeight="false" outlineLevel="0" collapsed="false">
      <c r="A37" s="3" t="s">
        <v>75</v>
      </c>
      <c r="B37" s="16" t="n">
        <v>10</v>
      </c>
      <c r="C37" s="14" t="s">
        <v>39</v>
      </c>
    </row>
    <row r="38" customFormat="false" ht="15" hidden="false" customHeight="false" outlineLevel="0" collapsed="false">
      <c r="A38" s="2" t="s">
        <v>76</v>
      </c>
      <c r="B38" s="11" t="n">
        <v>5</v>
      </c>
      <c r="C38" s="12" t="s">
        <v>39</v>
      </c>
    </row>
    <row r="39" customFormat="false" ht="15" hidden="false" customHeight="false" outlineLevel="0" collapsed="false">
      <c r="A39" s="3" t="s">
        <v>77</v>
      </c>
      <c r="B39" s="16" t="n">
        <v>15</v>
      </c>
      <c r="C39" s="14" t="s">
        <v>39</v>
      </c>
    </row>
    <row r="40" customFormat="false" ht="15" hidden="false" customHeight="false" outlineLevel="0" collapsed="false">
      <c r="A40" s="2" t="s">
        <v>78</v>
      </c>
      <c r="B40" s="11" t="n">
        <v>500</v>
      </c>
      <c r="C40" s="12" t="s">
        <v>39</v>
      </c>
    </row>
    <row r="41" customFormat="false" ht="15" hidden="false" customHeight="false" outlineLevel="0" collapsed="false">
      <c r="A41" s="3" t="s">
        <v>79</v>
      </c>
      <c r="B41" s="16" t="n">
        <v>100</v>
      </c>
      <c r="C41" s="14" t="s">
        <v>39</v>
      </c>
    </row>
    <row r="42" customFormat="false" ht="15" hidden="false" customHeight="false" outlineLevel="0" collapsed="false">
      <c r="A42" s="2" t="s">
        <v>80</v>
      </c>
      <c r="B42" s="11" t="n">
        <v>150</v>
      </c>
      <c r="C42" s="12" t="s">
        <v>39</v>
      </c>
    </row>
    <row r="43" customFormat="false" ht="15" hidden="false" customHeight="false" outlineLevel="0" collapsed="false">
      <c r="A43" s="3" t="s">
        <v>81</v>
      </c>
      <c r="B43" s="16" t="n">
        <v>1500</v>
      </c>
      <c r="C43" s="14" t="s">
        <v>39</v>
      </c>
    </row>
    <row r="44" customFormat="false" ht="15" hidden="false" customHeight="false" outlineLevel="0" collapsed="false">
      <c r="A44" s="2" t="s">
        <v>82</v>
      </c>
      <c r="B44" s="11" t="n">
        <v>4</v>
      </c>
      <c r="C44" s="12" t="s">
        <v>39</v>
      </c>
    </row>
    <row r="45" customFormat="false" ht="15" hidden="false" customHeight="false" outlineLevel="0" collapsed="false">
      <c r="A45" s="3" t="s">
        <v>83</v>
      </c>
      <c r="B45" s="16" t="n">
        <v>3000</v>
      </c>
      <c r="C45" s="14" t="s">
        <v>39</v>
      </c>
    </row>
    <row r="46" customFormat="false" ht="15" hidden="false" customHeight="false" outlineLevel="0" collapsed="false">
      <c r="A46" s="2" t="s">
        <v>84</v>
      </c>
      <c r="B46" s="11" t="n">
        <v>9</v>
      </c>
      <c r="C46" s="12" t="s">
        <v>39</v>
      </c>
    </row>
    <row r="47" customFormat="false" ht="15" hidden="false" customHeight="false" outlineLevel="0" collapsed="false">
      <c r="A47" s="3" t="s">
        <v>85</v>
      </c>
      <c r="B47" s="16" t="n">
        <v>0</v>
      </c>
      <c r="C47" s="14" t="s">
        <v>39</v>
      </c>
    </row>
    <row r="48" customFormat="false" ht="15" hidden="false" customHeight="false" outlineLevel="0" collapsed="false">
      <c r="A48" s="2" t="s">
        <v>86</v>
      </c>
      <c r="B48" s="11" t="n">
        <v>2000</v>
      </c>
      <c r="C48" s="12" t="s">
        <v>39</v>
      </c>
    </row>
    <row r="49" customFormat="false" ht="15" hidden="false" customHeight="false" outlineLevel="0" collapsed="false">
      <c r="A49" s="3" t="s">
        <v>87</v>
      </c>
      <c r="B49" s="16" t="n">
        <v>15000</v>
      </c>
      <c r="C49" s="14" t="s">
        <v>39</v>
      </c>
    </row>
    <row r="50" customFormat="false" ht="15" hidden="false" customHeight="false" outlineLevel="0" collapsed="false">
      <c r="A50" s="2" t="s">
        <v>88</v>
      </c>
      <c r="B50" s="11" t="n">
        <v>1</v>
      </c>
      <c r="C50" s="12" t="s">
        <v>39</v>
      </c>
    </row>
    <row r="51" customFormat="false" ht="15" hidden="false" customHeight="false" outlineLevel="0" collapsed="false">
      <c r="A51" s="3" t="s">
        <v>89</v>
      </c>
      <c r="B51" s="16" t="n">
        <v>1</v>
      </c>
      <c r="C51" s="14" t="s">
        <v>39</v>
      </c>
    </row>
    <row r="52" customFormat="false" ht="15" hidden="false" customHeight="false" outlineLevel="0" collapsed="false">
      <c r="A52" s="2" t="s">
        <v>90</v>
      </c>
      <c r="B52" s="11" t="n">
        <v>1</v>
      </c>
      <c r="C52" s="12" t="s">
        <v>39</v>
      </c>
    </row>
    <row r="53" customFormat="false" ht="15" hidden="false" customHeight="false" outlineLevel="0" collapsed="false">
      <c r="A53" s="3" t="s">
        <v>91</v>
      </c>
      <c r="B53" s="16" t="s">
        <v>92</v>
      </c>
      <c r="C53" s="14" t="s">
        <v>39</v>
      </c>
    </row>
    <row r="54" customFormat="false" ht="15" hidden="false" customHeight="false" outlineLevel="0" collapsed="false">
      <c r="A54" s="2" t="s">
        <v>93</v>
      </c>
      <c r="B54" s="17" t="n">
        <v>5000</v>
      </c>
      <c r="C54" s="12" t="s">
        <v>94</v>
      </c>
    </row>
    <row r="55" customFormat="false" ht="15" hidden="false" customHeight="false" outlineLevel="0" collapsed="false">
      <c r="A55" s="3" t="s">
        <v>95</v>
      </c>
      <c r="B55" s="18" t="n">
        <v>15000</v>
      </c>
      <c r="C55" s="14" t="s">
        <v>94</v>
      </c>
    </row>
    <row r="56" customFormat="false" ht="15" hidden="false" customHeight="false" outlineLevel="0" collapsed="false">
      <c r="A56" s="2" t="s">
        <v>96</v>
      </c>
      <c r="B56" s="17" t="n">
        <v>30000</v>
      </c>
      <c r="C56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6" min="2" style="0" width="17"/>
  </cols>
  <sheetData>
    <row r="1" customFormat="false" ht="15" hidden="false" customHeight="false" outlineLevel="0" collapsed="false">
      <c r="A1" s="1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</row>
    <row r="2" customFormat="false" ht="15" hidden="false" customHeight="false" outlineLevel="0" collapsed="false">
      <c r="A2" s="2" t="s">
        <v>103</v>
      </c>
      <c r="B2" s="17" t="n">
        <v>0</v>
      </c>
      <c r="C2" s="17" t="n">
        <v>0</v>
      </c>
      <c r="D2" s="17" t="n">
        <v>1</v>
      </c>
      <c r="E2" s="17" t="n">
        <v>15</v>
      </c>
      <c r="F2" s="17" t="n">
        <v>0</v>
      </c>
    </row>
    <row r="3" customFormat="false" ht="15" hidden="false" customHeight="false" outlineLevel="0" collapsed="false">
      <c r="A3" s="3" t="s">
        <v>104</v>
      </c>
      <c r="B3" s="18" t="n">
        <v>9</v>
      </c>
      <c r="C3" s="18" t="n">
        <v>0.6</v>
      </c>
      <c r="D3" s="18" t="n">
        <v>3</v>
      </c>
      <c r="E3" s="18" t="n">
        <v>5</v>
      </c>
      <c r="F3" s="18" t="n">
        <v>1</v>
      </c>
    </row>
    <row r="4" customFormat="false" ht="15" hidden="false" customHeight="false" outlineLevel="0" collapsed="false">
      <c r="A4" s="2" t="s">
        <v>105</v>
      </c>
      <c r="B4" s="17" t="n">
        <v>29</v>
      </c>
      <c r="C4" s="17" t="n">
        <v>0.3</v>
      </c>
      <c r="D4" s="17" t="n">
        <v>10</v>
      </c>
      <c r="E4" s="17" t="n">
        <v>5</v>
      </c>
      <c r="F4" s="17" t="n">
        <v>1</v>
      </c>
    </row>
    <row r="5" customFormat="false" ht="15" hidden="false" customHeight="false" outlineLevel="0" collapsed="false">
      <c r="A5" s="3" t="s">
        <v>106</v>
      </c>
      <c r="B5" s="18" t="n">
        <v>99</v>
      </c>
      <c r="C5" s="18" t="n">
        <v>0.1</v>
      </c>
      <c r="D5" s="18" t="n">
        <v>30</v>
      </c>
      <c r="E5" s="18" t="n">
        <v>5</v>
      </c>
      <c r="F5" s="1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205344</v>
      </c>
      <c r="C37" s="21" t="n">
        <f aca="false">(C35*$D$17)*DAY(EOMONTH(C$25,0))*1440/$E$17*$B$12</f>
        <v>586224</v>
      </c>
      <c r="D37" s="21" t="n">
        <f aca="false">(D35*$D$17)*DAY(EOMONTH(D$25,0))*1440/$E$17*$B$12</f>
        <v>989244.72</v>
      </c>
      <c r="E37" s="21" t="n">
        <f aca="false">(E35*$D$17)*DAY(EOMONTH(E$25,0))*1440/$E$17*$B$12</f>
        <v>1362637.116</v>
      </c>
      <c r="F37" s="21" t="n">
        <f aca="false">(F35*$D$17)*DAY(EOMONTH(F$25,0))*1440/$E$17*$B$12</f>
        <v>1564566.444</v>
      </c>
      <c r="G37" s="21" t="n">
        <f aca="false">(G35*$D$17)*DAY(EOMONTH(G$25,0))*1440/$E$17*$B$12</f>
        <v>2103721.49439</v>
      </c>
      <c r="H37" s="21" t="n">
        <f aca="false">(H35*$D$17)*DAY(EOMONTH(H$25,0))*1440/$E$17*$B$12</f>
        <v>2402565.733215</v>
      </c>
      <c r="I37" s="21" t="n">
        <f aca="false">(I35*$D$17)*DAY(EOMONTH(I$25,0))*1440/$E$17*$B$12</f>
        <v>2874190.35517358</v>
      </c>
      <c r="J37" s="21" t="n">
        <f aca="false">(J35*$D$17)*DAY(EOMONTH(J$25,0))*1440/$E$17*$B$12</f>
        <v>3177476.38711024</v>
      </c>
      <c r="K37" s="21" t="n">
        <f aca="false">(K35*$D$17)*DAY(EOMONTH(K$25,0))*1440/$E$17*$B$12</f>
        <v>3715246.93793984</v>
      </c>
      <c r="L37" s="21" t="n">
        <f aca="false">(L35*$D$17)*DAY(EOMONTH(L$25,0))*1440/$E$17*$B$12</f>
        <v>4174759.75963634</v>
      </c>
      <c r="M37" s="21" t="n">
        <f aca="false">(M35*$D$17)*DAY(EOMONTH(M$25,0))*1440/$E$17*$B$12</f>
        <v>4516476.42998431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35.10168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100.22802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169.1023434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232.93036077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267.6060521925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359.611961903925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410.772002442732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491.316571735182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543.260198962876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635.087507482781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713.637024503428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772.192011848706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96422.4</v>
      </c>
      <c r="C47" s="21" t="n">
        <f aca="false">(C45*$D$18)*DAY(EOMONTH(C$25,0))*1440/$E$18*$B$12</f>
        <v>285534.72</v>
      </c>
      <c r="D47" s="21" t="n">
        <f aca="false">(D45*$D$18)*DAY(EOMONTH(D$25,0))*1440/$E$18*$B$12</f>
        <v>505986.18624</v>
      </c>
      <c r="E47" s="21" t="n">
        <f aca="false">(E45*$D$18)*DAY(EOMONTH(E$25,0))*1440/$E$18*$B$12</f>
        <v>730756.0571904</v>
      </c>
      <c r="F47" s="21" t="n">
        <f aca="false">(F45*$D$18)*DAY(EOMONTH(F$25,0))*1440/$E$18*$B$12</f>
        <v>877064.833032192</v>
      </c>
      <c r="G47" s="21" t="n">
        <f aca="false">(G45*$D$18)*DAY(EOMONTH(G$25,0))*1440/$E$18*$B$12</f>
        <v>1228655.89780107</v>
      </c>
      <c r="H47" s="21" t="n">
        <f aca="false">(H45*$D$18)*DAY(EOMONTH(H$25,0))*1440/$E$18*$B$12</f>
        <v>1457048.77227042</v>
      </c>
      <c r="I47" s="21" t="n">
        <f aca="false">(I45*$D$18)*DAY(EOMONTH(I$25,0))*1440/$E$18*$B$12</f>
        <v>1804110.52516169</v>
      </c>
      <c r="J47" s="21" t="n">
        <f aca="false">(J45*$D$18)*DAY(EOMONTH(J$25,0))*1440/$E$18*$B$12</f>
        <v>2057938.12406285</v>
      </c>
      <c r="K47" s="21" t="n">
        <f aca="false">(K45*$D$18)*DAY(EOMONTH(K$25,0))*1440/$E$18*$B$12</f>
        <v>2475523.57218437</v>
      </c>
      <c r="L47" s="21" t="n">
        <f aca="false">(L45*$D$18)*DAY(EOMONTH(L$25,0))*1440/$E$18*$B$12</f>
        <v>2853956.47772242</v>
      </c>
      <c r="M47" s="21" t="n">
        <f aca="false">(M45*$D$18)*DAY(EOMONTH(M$25,0))*1440/$E$18*$B$12</f>
        <v>3159674.9534337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2.592</v>
      </c>
      <c r="C48" s="22" t="n">
        <f aca="false">(C45*$D$18)*Inputs!$B$8*$B$13*Inputs!$B$9*$F$18</f>
        <v>7.93152</v>
      </c>
      <c r="D48" s="22" t="n">
        <f aca="false">(D45*$D$18)*Inputs!$B$8*$B$13*Inputs!$B$9*$F$18</f>
        <v>13.6017792</v>
      </c>
      <c r="E48" s="22" t="n">
        <f aca="false">(E45*$D$18)*Inputs!$B$8*$B$13*Inputs!$B$9*$F$18</f>
        <v>19.643980032</v>
      </c>
      <c r="F48" s="22" t="n">
        <f aca="false">(F45*$D$18)*Inputs!$B$8*$B$13*Inputs!$B$9*$F$18</f>
        <v>26.10312003072</v>
      </c>
      <c r="G48" s="22" t="n">
        <f aca="false">(G45*$D$18)*Inputs!$B$8*$B$13*Inputs!$B$9*$F$18</f>
        <v>33.0283843494912</v>
      </c>
      <c r="H48" s="22" t="n">
        <f aca="false">(H45*$D$18)*Inputs!$B$8*$B$13*Inputs!$B$9*$F$18</f>
        <v>40.4735770075116</v>
      </c>
      <c r="I48" s="22" t="n">
        <f aca="false">(I45*$D$18)*Inputs!$B$8*$B$13*Inputs!$B$9*$F$18</f>
        <v>48.4975947624111</v>
      </c>
      <c r="J48" s="22" t="n">
        <f aca="false">(J45*$D$18)*Inputs!$B$8*$B$13*Inputs!$B$9*$F$18</f>
        <v>57.1649478906347</v>
      </c>
      <c r="K48" s="22" t="n">
        <f aca="false">(K45*$D$18)*Inputs!$B$8*$B$13*Inputs!$B$9*$F$18</f>
        <v>66.5463325856013</v>
      </c>
      <c r="L48" s="22" t="n">
        <f aca="false">(L45*$D$18)*Inputs!$B$8*$B$13*Inputs!$B$9*$F$18</f>
        <v>76.7192601538285</v>
      </c>
      <c r="M48" s="22" t="n">
        <f aca="false">(M45*$D$18)*Inputs!$B$8*$B$13*Inputs!$B$9*$F$18</f>
        <v>87.7687487064916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21.59479296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62.3020363776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108.871235536896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156.77515502678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192.013685169404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262.902353225822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313.686070808277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385.57703686022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442.655575935556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528.724133204413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609.412724478753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679.152703026245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160704</v>
      </c>
      <c r="C57" s="21" t="n">
        <f aca="false">(C55*$D$19)*DAY(EOMONTH(C$25,0))*1440/$E$19*$B$12</f>
        <v>475891.2</v>
      </c>
      <c r="D57" s="21" t="n">
        <f aca="false">(D55*$D$19)*DAY(EOMONTH(D$25,0))*1440/$E$19*$B$12</f>
        <v>843310.3104</v>
      </c>
      <c r="E57" s="21" t="n">
        <f aca="false">(E55*$D$19)*DAY(EOMONTH(E$25,0))*1440/$E$19*$B$12</f>
        <v>1217926.761984</v>
      </c>
      <c r="F57" s="21" t="n">
        <f aca="false">(F55*$D$19)*DAY(EOMONTH(F$25,0))*1440/$E$19*$B$12</f>
        <v>1461774.72172032</v>
      </c>
      <c r="G57" s="21" t="n">
        <f aca="false">(G55*$D$19)*DAY(EOMONTH(G$25,0))*1440/$E$19*$B$12</f>
        <v>2047759.82966845</v>
      </c>
      <c r="H57" s="21" t="n">
        <f aca="false">(H55*$D$19)*DAY(EOMONTH(H$25,0))*1440/$E$19*$B$12</f>
        <v>2428414.62045069</v>
      </c>
      <c r="I57" s="21" t="n">
        <f aca="false">(I55*$D$19)*DAY(EOMONTH(I$25,0))*1440/$E$19*$B$12</f>
        <v>3006850.87526949</v>
      </c>
      <c r="J57" s="21" t="n">
        <f aca="false">(J55*$D$19)*DAY(EOMONTH(J$25,0))*1440/$E$19*$B$12</f>
        <v>3429896.87343808</v>
      </c>
      <c r="K57" s="21" t="n">
        <f aca="false">(K55*$D$19)*DAY(EOMONTH(K$25,0))*1440/$E$19*$B$12</f>
        <v>4125872.62030728</v>
      </c>
      <c r="L57" s="21" t="n">
        <f aca="false">(L55*$D$19)*DAY(EOMONTH(L$25,0))*1440/$E$19*$B$12</f>
        <v>4756594.12953736</v>
      </c>
      <c r="M57" s="21" t="n">
        <f aca="false">(M55*$D$19)*DAY(EOMONTH(M$25,0))*1440/$E$19*$B$12</f>
        <v>5266124.9223895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4.32</v>
      </c>
      <c r="C58" s="22" t="n">
        <f aca="false">(C55*$D$19)*Inputs!$B$8*$B$13*Inputs!$B$9*$F$19</f>
        <v>13.2192</v>
      </c>
      <c r="D58" s="22" t="n">
        <f aca="false">(D55*$D$19)*Inputs!$B$8*$B$13*Inputs!$B$9*$F$19</f>
        <v>22.669632</v>
      </c>
      <c r="E58" s="22" t="n">
        <f aca="false">(E55*$D$19)*Inputs!$B$8*$B$13*Inputs!$B$9*$F$19</f>
        <v>32.73996672</v>
      </c>
      <c r="F58" s="22" t="n">
        <f aca="false">(F55*$D$19)*Inputs!$B$8*$B$13*Inputs!$B$9*$F$19</f>
        <v>43.5052000512</v>
      </c>
      <c r="G58" s="22" t="n">
        <f aca="false">(G55*$D$19)*Inputs!$B$8*$B$13*Inputs!$B$9*$F$19</f>
        <v>55.047307249152</v>
      </c>
      <c r="H58" s="22" t="n">
        <f aca="false">(H55*$D$19)*Inputs!$B$8*$B$13*Inputs!$B$9*$F$19</f>
        <v>67.4559616791859</v>
      </c>
      <c r="I58" s="22" t="n">
        <f aca="false">(I55*$D$19)*Inputs!$B$8*$B$13*Inputs!$B$9*$F$19</f>
        <v>80.8293246040185</v>
      </c>
      <c r="J58" s="22" t="n">
        <f aca="false">(J55*$D$19)*Inputs!$B$8*$B$13*Inputs!$B$9*$F$19</f>
        <v>95.2749131510578</v>
      </c>
      <c r="K58" s="22" t="n">
        <f aca="false">(K55*$D$19)*Inputs!$B$8*$B$13*Inputs!$B$9*$F$19</f>
        <v>110.910554309336</v>
      </c>
      <c r="L58" s="22" t="n">
        <f aca="false">(L55*$D$19)*Inputs!$B$8*$B$13*Inputs!$B$9*$F$19</f>
        <v>127.865433589714</v>
      </c>
      <c r="M58" s="22" t="n">
        <f aca="false">(M55*$D$19)*Inputs!$B$8*$B$13*Inputs!$B$9*$F$19</f>
        <v>146.281247844153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31.3065216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92.021239296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162.05930274816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233.820002023834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283.909398035706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392.787313624935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467.456332911617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576.524335946061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660.038529122626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790.908000736169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911.745291872362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1013.15507791946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160704</v>
      </c>
      <c r="C67" s="21" t="n">
        <f aca="false">(C65*$D$20)*DAY(EOMONTH(C$25,0))*1440/$E$20*$B$12</f>
        <v>475891.2</v>
      </c>
      <c r="D67" s="21" t="n">
        <f aca="false">(D65*$D$20)*DAY(EOMONTH(D$25,0))*1440/$E$20*$B$12</f>
        <v>843310.3104</v>
      </c>
      <c r="E67" s="21" t="n">
        <f aca="false">(E65*$D$20)*DAY(EOMONTH(E$25,0))*1440/$E$20*$B$12</f>
        <v>1217926.761984</v>
      </c>
      <c r="F67" s="21" t="n">
        <f aca="false">(F65*$D$20)*DAY(EOMONTH(F$25,0))*1440/$E$20*$B$12</f>
        <v>1461774.72172032</v>
      </c>
      <c r="G67" s="21" t="n">
        <f aca="false">(G65*$D$20)*DAY(EOMONTH(G$25,0))*1440/$E$20*$B$12</f>
        <v>2047759.82966846</v>
      </c>
      <c r="H67" s="21" t="n">
        <f aca="false">(H65*$D$20)*DAY(EOMONTH(H$25,0))*1440/$E$20*$B$12</f>
        <v>2428414.62045069</v>
      </c>
      <c r="I67" s="21" t="n">
        <f aca="false">(I65*$D$20)*DAY(EOMONTH(I$25,0))*1440/$E$20*$B$12</f>
        <v>3006850.87526949</v>
      </c>
      <c r="J67" s="21" t="n">
        <f aca="false">(J65*$D$20)*DAY(EOMONTH(J$25,0))*1440/$E$20*$B$12</f>
        <v>3429896.87343808</v>
      </c>
      <c r="K67" s="21" t="n">
        <f aca="false">(K65*$D$20)*DAY(EOMONTH(K$25,0))*1440/$E$20*$B$12</f>
        <v>4125872.62030728</v>
      </c>
      <c r="L67" s="21" t="n">
        <f aca="false">(L65*$D$20)*DAY(EOMONTH(L$25,0))*1440/$E$20*$B$12</f>
        <v>4756594.12953736</v>
      </c>
      <c r="M67" s="21" t="n">
        <f aca="false">(M65*$D$20)*DAY(EOMONTH(M$25,0))*1440/$E$20*$B$12</f>
        <v>5266124.9223895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4.32</v>
      </c>
      <c r="C68" s="22" t="n">
        <f aca="false">(C65*$D$20)*Inputs!$B$8*$B$13*Inputs!$B$9*$F$20</f>
        <v>13.2192</v>
      </c>
      <c r="D68" s="22" t="n">
        <f aca="false">(D65*$D$20)*Inputs!$B$8*$B$13*Inputs!$B$9*$F$20</f>
        <v>22.669632</v>
      </c>
      <c r="E68" s="22" t="n">
        <f aca="false">(E65*$D$20)*Inputs!$B$8*$B$13*Inputs!$B$9*$F$20</f>
        <v>32.73996672</v>
      </c>
      <c r="F68" s="22" t="n">
        <f aca="false">(F65*$D$20)*Inputs!$B$8*$B$13*Inputs!$B$9*$F$20</f>
        <v>43.5052000512</v>
      </c>
      <c r="G68" s="22" t="n">
        <f aca="false">(G65*$D$20)*Inputs!$B$8*$B$13*Inputs!$B$9*$F$20</f>
        <v>55.047307249152</v>
      </c>
      <c r="H68" s="22" t="n">
        <f aca="false">(H65*$D$20)*Inputs!$B$8*$B$13*Inputs!$B$9*$F$20</f>
        <v>67.455961679186</v>
      </c>
      <c r="I68" s="22" t="n">
        <f aca="false">(I65*$D$20)*Inputs!$B$8*$B$13*Inputs!$B$9*$F$20</f>
        <v>80.8293246040185</v>
      </c>
      <c r="J68" s="22" t="n">
        <f aca="false">(J65*$D$20)*Inputs!$B$8*$B$13*Inputs!$B$9*$F$20</f>
        <v>95.2749131510578</v>
      </c>
      <c r="K68" s="22" t="n">
        <f aca="false">(K65*$D$20)*Inputs!$B$8*$B$13*Inputs!$B$9*$F$20</f>
        <v>110.910554309335</v>
      </c>
      <c r="L68" s="22" t="n">
        <f aca="false">(L65*$D$20)*Inputs!$B$8*$B$13*Inputs!$B$9*$F$20</f>
        <v>127.865433589714</v>
      </c>
      <c r="M68" s="22" t="n">
        <f aca="false">(M65*$D$20)*Inputs!$B$8*$B$13*Inputs!$B$9*$F$20</f>
        <v>146.281247844153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30.2457216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89.495191296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157.97584866816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228.075593307034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276.388043587578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383.359419066732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455.977420418942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562.833632864614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643.957412367108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772.238282673811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890.267331957731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988.625702769175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623174.4</v>
      </c>
      <c r="C78" s="26" t="n">
        <f aca="false">C37+C47+C57+C67</f>
        <v>1823541.12</v>
      </c>
      <c r="D78" s="26" t="n">
        <f aca="false">D37+D47+D57+D67</f>
        <v>3181851.52704</v>
      </c>
      <c r="E78" s="26" t="n">
        <f aca="false">E37+E47+E57+E67</f>
        <v>4529246.6971584</v>
      </c>
      <c r="F78" s="26" t="n">
        <f aca="false">F37+F47+F57+F67</f>
        <v>5365180.72047283</v>
      </c>
      <c r="G78" s="26" t="n">
        <f aca="false">G37+G47+G57+G67</f>
        <v>7427897.05152798</v>
      </c>
      <c r="H78" s="26" t="n">
        <f aca="false">H37+H47+H57+H67</f>
        <v>8716443.7463868</v>
      </c>
      <c r="I78" s="26" t="n">
        <f aca="false">I37+I47+I57+I67</f>
        <v>10692002.6308742</v>
      </c>
      <c r="J78" s="26" t="n">
        <f aca="false">J37+J47+J57+J67</f>
        <v>12095208.2580492</v>
      </c>
      <c r="K78" s="26" t="n">
        <f aca="false">K37+K47+K57+K67</f>
        <v>14442515.7507388</v>
      </c>
      <c r="L78" s="26" t="n">
        <f aca="false">L37+L47+L57+L67</f>
        <v>16541904.4964335</v>
      </c>
      <c r="M78" s="26" t="n">
        <f aca="false">M37+M47+M57+M67</f>
        <v>18208401.228197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11.232</v>
      </c>
      <c r="C79" s="27" t="n">
        <f aca="false">C38+C48+C58+C68</f>
        <v>34.36992</v>
      </c>
      <c r="D79" s="27" t="n">
        <f aca="false">D38+D48+D58+D68</f>
        <v>58.9410432</v>
      </c>
      <c r="E79" s="27" t="n">
        <f aca="false">E38+E48+E58+E68</f>
        <v>85.123913472</v>
      </c>
      <c r="F79" s="27" t="n">
        <f aca="false">F38+F48+F58+F68</f>
        <v>113.11352013312</v>
      </c>
      <c r="G79" s="27" t="n">
        <f aca="false">G38+G48+G58+G68</f>
        <v>143.122998847795</v>
      </c>
      <c r="H79" s="27" t="n">
        <f aca="false">H38+H48+H58+H68</f>
        <v>175.385500365883</v>
      </c>
      <c r="I79" s="27" t="n">
        <f aca="false">I38+I48+I58+I68</f>
        <v>210.156243970448</v>
      </c>
      <c r="J79" s="27" t="n">
        <f aca="false">J38+J48+J58+J68</f>
        <v>247.71477419275</v>
      </c>
      <c r="K79" s="27" t="n">
        <f aca="false">K38+K48+K58+K68</f>
        <v>288.367441204272</v>
      </c>
      <c r="L79" s="27" t="n">
        <f aca="false">L38+L48+L58+L68</f>
        <v>332.450127333257</v>
      </c>
      <c r="M79" s="27" t="n">
        <f aca="false">M38+M48+M58+M68</f>
        <v>380.331244394797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118.24871616</v>
      </c>
      <c r="C80" s="29" t="n">
        <f aca="false">C39+C49+C59+C69</f>
        <v>344.0464869696</v>
      </c>
      <c r="D80" s="29" t="n">
        <f aca="false">D39+D49+D59+D69</f>
        <v>598.008730353216</v>
      </c>
      <c r="E80" s="29" t="n">
        <f aca="false">E39+E49+E59+E69</f>
        <v>851.601111127648</v>
      </c>
      <c r="F80" s="29" t="n">
        <f aca="false">F39+F49+F59+F69</f>
        <v>1019.91717898519</v>
      </c>
      <c r="G80" s="29" t="n">
        <f aca="false">G39+G49+G59+G69</f>
        <v>1398.66104782141</v>
      </c>
      <c r="H80" s="29" t="n">
        <f aca="false">H39+H49+H59+H69</f>
        <v>1647.89182658157</v>
      </c>
      <c r="I80" s="29" t="n">
        <f aca="false">I39+I49+I59+I69</f>
        <v>2016.25157740608</v>
      </c>
      <c r="J80" s="29" t="n">
        <f aca="false">J39+J49+J59+J69</f>
        <v>2289.91171638817</v>
      </c>
      <c r="K80" s="29" t="n">
        <f aca="false">K39+K49+K59+K69</f>
        <v>2726.95792409717</v>
      </c>
      <c r="L80" s="29" t="n">
        <f aca="false">L39+L49+L59+L69</f>
        <v>3125.06237281227</v>
      </c>
      <c r="M80" s="29" t="n">
        <f aca="false">M39+M49+M59+M69</f>
        <v>3453.12549556359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218.24871616</v>
      </c>
      <c r="C83" s="28" t="n">
        <f aca="false">C80+C81+C82</f>
        <v>444.0464869696</v>
      </c>
      <c r="D83" s="28" t="n">
        <f aca="false">D80+D81+D82</f>
        <v>798.008730353216</v>
      </c>
      <c r="E83" s="28" t="n">
        <f aca="false">E80+E81+E82</f>
        <v>1051.60111112765</v>
      </c>
      <c r="F83" s="28" t="n">
        <f aca="false">F80+F81+F82</f>
        <v>1319.91717898519</v>
      </c>
      <c r="G83" s="28" t="n">
        <f aca="false">G80+G81+G82</f>
        <v>1698.66104782141</v>
      </c>
      <c r="H83" s="28" t="n">
        <f aca="false">H80+H81+H82</f>
        <v>2047.89182658157</v>
      </c>
      <c r="I83" s="28" t="n">
        <f aca="false">I80+I81+I82</f>
        <v>2416.25157740608</v>
      </c>
      <c r="J83" s="28" t="n">
        <f aca="false">J80+J81+J82</f>
        <v>2789.91171638817</v>
      </c>
      <c r="K83" s="28" t="n">
        <f aca="false">K80+K81+K82</f>
        <v>3226.95792409717</v>
      </c>
      <c r="L83" s="28" t="n">
        <f aca="false">L80+L81+L82</f>
        <v>3725.06237281227</v>
      </c>
      <c r="M83" s="28" t="n">
        <f aca="false">M80+M81+M82</f>
        <v>4153.12549556359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-74.24871616</v>
      </c>
      <c r="C84" s="28" t="n">
        <f aca="false">C77-C83</f>
        <v>-3.40648696960011</v>
      </c>
      <c r="D84" s="28" t="n">
        <f aca="false">D77-D83</f>
        <v>-42.354330353216</v>
      </c>
      <c r="E84" s="28" t="n">
        <f aca="false">E77-E83</f>
        <v>39.7311128723527</v>
      </c>
      <c r="F84" s="28" t="n">
        <f aca="false">F77-F83</f>
        <v>130.256156054812</v>
      </c>
      <c r="G84" s="28" t="n">
        <f aca="false">G77-G83</f>
        <v>136.249193816986</v>
      </c>
      <c r="H84" s="28" t="n">
        <f aca="false">H77-H83</f>
        <v>200.640229391296</v>
      </c>
      <c r="I84" s="28" t="n">
        <f aca="false">I77-I83</f>
        <v>278.059242727873</v>
      </c>
      <c r="J84" s="28" t="n">
        <f aca="false">J77-J83</f>
        <v>385.918721980427</v>
      </c>
      <c r="K84" s="28" t="n">
        <f aca="false">K77-K83</f>
        <v>470.060552880675</v>
      </c>
      <c r="L84" s="28" t="n">
        <f aca="false">L77-L83</f>
        <v>537.118746844863</v>
      </c>
      <c r="M84" s="28" t="n">
        <f aca="false">M77-M83</f>
        <v>722.916099241501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-0.515616084444445</v>
      </c>
      <c r="C85" s="31" t="n">
        <f aca="false">IFERROR(C84/C77,0)</f>
        <v>-0.0077307710820627</v>
      </c>
      <c r="D85" s="31" t="n">
        <f aca="false">IFERROR(D84/D77,0)</f>
        <v>-0.0560498692963556</v>
      </c>
      <c r="E85" s="31" t="n">
        <f aca="false">IFERROR(E84/E77,0)</f>
        <v>0.0364060659060615</v>
      </c>
      <c r="F85" s="31" t="n">
        <f aca="false">IFERROR(F84/F77,0)</f>
        <v>0.0898210944219431</v>
      </c>
      <c r="G85" s="31" t="n">
        <f aca="false">IFERROR(G84/G77,0)</f>
        <v>0.0742538739635178</v>
      </c>
      <c r="H85" s="31" t="n">
        <f aca="false">IFERROR(H84/H77,0)</f>
        <v>0.0892316517606798</v>
      </c>
      <c r="I85" s="31" t="n">
        <f aca="false">IFERROR(I84/I77,0)</f>
        <v>0.103202362789773</v>
      </c>
      <c r="J85" s="31" t="n">
        <f aca="false">IFERROR(J84/J77,0)</f>
        <v>0.121517420236917</v>
      </c>
      <c r="K85" s="31" t="n">
        <f aca="false">IFERROR(K84/K77,0)</f>
        <v>0.127145848961223</v>
      </c>
      <c r="L85" s="31" t="n">
        <f aca="false">IFERROR(L84/L77,0)</f>
        <v>0.126019690802833</v>
      </c>
      <c r="M85" s="31" t="n">
        <f aca="false">IFERROR(M84/M77,0)</f>
        <v>0.148258804849346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5678.9226288</v>
      </c>
      <c r="K91" s="28" t="n">
        <f aca="false">K86+K87+K88+K89+K90</f>
        <v>5781.81489168</v>
      </c>
      <c r="L91" s="28" t="n">
        <f aca="false">L86+L87+L88+L89+L90</f>
        <v>5894.996380848</v>
      </c>
      <c r="M91" s="28" t="n">
        <f aca="false">M86+M87+M88+M89+M90</f>
        <v>6019.4960189328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-704.24871616</v>
      </c>
      <c r="C92" s="28" t="n">
        <f aca="false">C84-C91</f>
        <v>-681.4064869696</v>
      </c>
      <c r="D92" s="28" t="n">
        <f aca="false">D84-D91</f>
        <v>-773.154330353216</v>
      </c>
      <c r="E92" s="28" t="n">
        <f aca="false">E84-E91</f>
        <v>-2249.14888712765</v>
      </c>
      <c r="F92" s="28" t="n">
        <f aca="false">F84-F91</f>
        <v>-2222.51184394519</v>
      </c>
      <c r="G92" s="28" t="n">
        <f aca="false">G84-G91</f>
        <v>-2286.79560618301</v>
      </c>
      <c r="H92" s="28" t="n">
        <f aca="false">H84-H91</f>
        <v>-2299.7090506087</v>
      </c>
      <c r="I92" s="28" t="n">
        <f aca="false">I84-I91</f>
        <v>-2307.32496527213</v>
      </c>
      <c r="J92" s="28" t="n">
        <f aca="false">J84-J91</f>
        <v>-5293.00390681957</v>
      </c>
      <c r="K92" s="28" t="n">
        <f aca="false">K84-K91</f>
        <v>-5311.75433879933</v>
      </c>
      <c r="L92" s="28" t="n">
        <f aca="false">L84-L91</f>
        <v>-5357.87763400314</v>
      </c>
      <c r="M92" s="28" t="n">
        <f aca="false">M84-M91</f>
        <v>-5296.5799196913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-704.24871616</v>
      </c>
      <c r="C93" s="30" t="n">
        <f aca="false">B93+C92</f>
        <v>-1385.6552031296</v>
      </c>
      <c r="D93" s="30" t="n">
        <f aca="false">C93+D92</f>
        <v>-2158.80953348282</v>
      </c>
      <c r="E93" s="30" t="n">
        <f aca="false">D93+E92</f>
        <v>-4407.95842061046</v>
      </c>
      <c r="F93" s="30" t="n">
        <f aca="false">E93+F92</f>
        <v>-6630.47026455565</v>
      </c>
      <c r="G93" s="30" t="n">
        <f aca="false">F93+G92</f>
        <v>-8917.26587073867</v>
      </c>
      <c r="H93" s="30" t="n">
        <f aca="false">G93+H92</f>
        <v>-11216.9749213474</v>
      </c>
      <c r="I93" s="30" t="n">
        <f aca="false">H93+I92</f>
        <v>-13524.2998866195</v>
      </c>
      <c r="J93" s="30" t="n">
        <f aca="false">I93+J92</f>
        <v>-18817.3037934391</v>
      </c>
      <c r="K93" s="30" t="n">
        <f aca="false">J93+K92</f>
        <v>-24129.0581322384</v>
      </c>
      <c r="L93" s="30" t="n">
        <f aca="false">K93+L92</f>
        <v>-29486.9357662415</v>
      </c>
      <c r="M93" s="30" t="n">
        <f aca="false">L93+M92</f>
        <v>-34783.5156859328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14295.75128384</v>
      </c>
      <c r="C94" s="28" t="n">
        <f aca="false">Inputs!$B$49+C93</f>
        <v>13614.3447968704</v>
      </c>
      <c r="D94" s="28" t="n">
        <f aca="false">Inputs!$B$49+D93</f>
        <v>12841.1904665172</v>
      </c>
      <c r="E94" s="28" t="n">
        <f aca="false">Inputs!$B$49+E93</f>
        <v>10592.0415793895</v>
      </c>
      <c r="F94" s="28" t="n">
        <f aca="false">Inputs!$B$49+F93</f>
        <v>8369.52973544435</v>
      </c>
      <c r="G94" s="28" t="n">
        <f aca="false">Inputs!$B$49+G93</f>
        <v>6082.73412926134</v>
      </c>
      <c r="H94" s="28" t="n">
        <f aca="false">Inputs!$B$49+H93</f>
        <v>3783.02507865263</v>
      </c>
      <c r="I94" s="28" t="n">
        <f aca="false">Inputs!$B$49+I93</f>
        <v>1475.7001133805</v>
      </c>
      <c r="J94" s="28" t="n">
        <f aca="false">Inputs!$B$49+J93</f>
        <v>-3817.30379343907</v>
      </c>
      <c r="K94" s="28" t="n">
        <f aca="false">Inputs!$B$49+K93</f>
        <v>-9129.0581322384</v>
      </c>
      <c r="L94" s="28" t="n">
        <f aca="false">Inputs!$B$49+L93</f>
        <v>-14486.9357662415</v>
      </c>
      <c r="M94" s="28" t="n">
        <f aca="false">Inputs!$B$49+M93</f>
        <v>-19783.5156859328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4295.75128384</v>
      </c>
      <c r="C95" s="30" t="n">
        <f aca="false">Inputs!$B$54+C93</f>
        <v>3614.3447968704</v>
      </c>
      <c r="D95" s="30" t="n">
        <f aca="false">Inputs!$B$54+D93</f>
        <v>2841.19046651718</v>
      </c>
      <c r="E95" s="30" t="n">
        <f aca="false">Inputs!$B$54+E93</f>
        <v>592.041579389536</v>
      </c>
      <c r="F95" s="30" t="n">
        <f aca="false">Inputs!$B$54+F93</f>
        <v>-1630.47026455565</v>
      </c>
      <c r="G95" s="30" t="n">
        <f aca="false">Inputs!$B$54+G93</f>
        <v>-3917.26587073867</v>
      </c>
      <c r="H95" s="30" t="n">
        <f aca="false">Inputs!$B$54+H93</f>
        <v>-6216.97492134737</v>
      </c>
      <c r="I95" s="30" t="n">
        <f aca="false">Inputs!$B$54+I93</f>
        <v>-8524.2998866195</v>
      </c>
      <c r="J95" s="30" t="n">
        <f aca="false">Inputs!$B$54+J93</f>
        <v>-13817.3037934391</v>
      </c>
      <c r="K95" s="30" t="n">
        <f aca="false">Inputs!$B$54+K93</f>
        <v>-19129.0581322384</v>
      </c>
      <c r="L95" s="30" t="n">
        <f aca="false">Inputs!$B$54+L93</f>
        <v>-24486.9357662415</v>
      </c>
      <c r="M95" s="30" t="n">
        <f aca="false">Inputs!$B$54+M93</f>
        <v>-29783.5156859328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14295.75128384</v>
      </c>
      <c r="C96" s="29" t="n">
        <f aca="false">Inputs!$B$55+C93</f>
        <v>13614.3447968704</v>
      </c>
      <c r="D96" s="29" t="n">
        <f aca="false">Inputs!$B$55+D93</f>
        <v>12841.1904665172</v>
      </c>
      <c r="E96" s="29" t="n">
        <f aca="false">Inputs!$B$55+E93</f>
        <v>10592.0415793895</v>
      </c>
      <c r="F96" s="29" t="n">
        <f aca="false">Inputs!$B$55+F93</f>
        <v>8369.52973544435</v>
      </c>
      <c r="G96" s="29" t="n">
        <f aca="false">Inputs!$B$55+G93</f>
        <v>6082.73412926134</v>
      </c>
      <c r="H96" s="29" t="n">
        <f aca="false">Inputs!$B$55+H93</f>
        <v>3783.02507865263</v>
      </c>
      <c r="I96" s="29" t="n">
        <f aca="false">Inputs!$B$55+I93</f>
        <v>1475.7001133805</v>
      </c>
      <c r="J96" s="29" t="n">
        <f aca="false">Inputs!$B$55+J93</f>
        <v>-3817.30379343907</v>
      </c>
      <c r="K96" s="29" t="n">
        <f aca="false">Inputs!$B$55+K93</f>
        <v>-9129.0581322384</v>
      </c>
      <c r="L96" s="29" t="n">
        <f aca="false">Inputs!$B$55+L93</f>
        <v>-14486.9357662415</v>
      </c>
      <c r="M96" s="29" t="n">
        <f aca="false">Inputs!$B$55+M93</f>
        <v>-19783.5156859328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29295.75128384</v>
      </c>
      <c r="C97" s="30" t="n">
        <f aca="false">Inputs!$B$56+C93</f>
        <v>28614.3447968704</v>
      </c>
      <c r="D97" s="30" t="n">
        <f aca="false">Inputs!$B$56+D93</f>
        <v>27841.1904665172</v>
      </c>
      <c r="E97" s="30" t="n">
        <f aca="false">Inputs!$B$56+E93</f>
        <v>25592.0415793895</v>
      </c>
      <c r="F97" s="30" t="n">
        <f aca="false">Inputs!$B$56+F93</f>
        <v>23369.5297354443</v>
      </c>
      <c r="G97" s="30" t="n">
        <f aca="false">Inputs!$B$56+G93</f>
        <v>21082.7341292613</v>
      </c>
      <c r="H97" s="30" t="n">
        <f aca="false">Inputs!$B$56+H93</f>
        <v>18783.0250786526</v>
      </c>
      <c r="I97" s="30" t="n">
        <f aca="false">Inputs!$B$56+I93</f>
        <v>16475.7001133805</v>
      </c>
      <c r="J97" s="30" t="n">
        <f aca="false">Inputs!$B$56+J93</f>
        <v>11182.6962065609</v>
      </c>
      <c r="K97" s="30" t="n">
        <f aca="false">Inputs!$B$56+K93</f>
        <v>5870.94186776161</v>
      </c>
      <c r="L97" s="30" t="n">
        <f aca="false">Inputs!$B$56+L93</f>
        <v>513.064233758465</v>
      </c>
      <c r="M97" s="30" t="n">
        <f aca="false">Inputs!$B$56+M93</f>
        <v>-4783.51568593283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36.3747860266667</v>
      </c>
      <c r="C100" s="29" t="n">
        <f aca="false">IFERROR(C83/C74,0)</f>
        <v>24.1855385059695</v>
      </c>
      <c r="D100" s="29" t="n">
        <f aca="false">IFERROR(D83/D74,0)</f>
        <v>25.3451968631125</v>
      </c>
      <c r="E100" s="29" t="n">
        <f aca="false">IFERROR(E83/E74,0)</f>
        <v>23.1262544182545</v>
      </c>
      <c r="F100" s="29" t="n">
        <f aca="false">IFERROR(F83/F74,0)</f>
        <v>21.8442937338734</v>
      </c>
      <c r="G100" s="29" t="n">
        <f aca="false">IFERROR(G83/G74,0)</f>
        <v>22.2179070248756</v>
      </c>
      <c r="H100" s="29" t="n">
        <f aca="false">IFERROR(H83/H74,0)</f>
        <v>21.8584403577437</v>
      </c>
      <c r="I100" s="29" t="n">
        <f aca="false">IFERROR(I83/I74,0)</f>
        <v>21.5231432930455</v>
      </c>
      <c r="J100" s="29" t="n">
        <f aca="false">IFERROR(J83/J74,0)</f>
        <v>21.083581914314</v>
      </c>
      <c r="K100" s="29" t="n">
        <f aca="false">IFERROR(K83/K74,0)</f>
        <v>20.9484996249307</v>
      </c>
      <c r="L100" s="29" t="n">
        <f aca="false">IFERROR(L83/L74,0)</f>
        <v>20.975527420732</v>
      </c>
      <c r="M100" s="29" t="n">
        <f aca="false">IFERROR(M83/M74,0)</f>
        <v>20.4417886836157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-12.3747860266667</v>
      </c>
      <c r="C101" s="30" t="n">
        <f aca="false">C98-C100</f>
        <v>-0.185538505969504</v>
      </c>
      <c r="D101" s="30" t="n">
        <f aca="false">D98-D100</f>
        <v>-1.34519686311253</v>
      </c>
      <c r="E101" s="30" t="n">
        <f aca="false">E98-E100</f>
        <v>0.873745581745478</v>
      </c>
      <c r="F101" s="30" t="n">
        <f aca="false">F98-F100</f>
        <v>2.15570626612664</v>
      </c>
      <c r="G101" s="30" t="n">
        <f aca="false">G98-G100</f>
        <v>1.78209297512442</v>
      </c>
      <c r="H101" s="30" t="n">
        <f aca="false">H98-H100</f>
        <v>2.14155964225632</v>
      </c>
      <c r="I101" s="30" t="n">
        <f aca="false">I98-I100</f>
        <v>2.47685670695454</v>
      </c>
      <c r="J101" s="30" t="n">
        <f aca="false">J98-J100</f>
        <v>2.916418085686</v>
      </c>
      <c r="K101" s="30" t="n">
        <f aca="false">K98-K100</f>
        <v>3.05150037506935</v>
      </c>
      <c r="L101" s="30" t="n">
        <f aca="false">L98-L100</f>
        <v>3.02447257926798</v>
      </c>
      <c r="M101" s="30" t="n">
        <f aca="false">M98-M100</f>
        <v>3.5582113163843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21.843639543637</v>
      </c>
      <c r="F102" s="32" t="n">
        <f aca="false">IF(F101&gt;0,F101/$B$7,0)</f>
        <v>53.8926566531659</v>
      </c>
      <c r="G102" s="32" t="n">
        <f aca="false">IF(G101&gt;0,G101/$B$7,0)</f>
        <v>44.5523243781106</v>
      </c>
      <c r="H102" s="32" t="n">
        <f aca="false">IF(H101&gt;0,H101/$B$7,0)</f>
        <v>53.538991056408</v>
      </c>
      <c r="I102" s="32" t="n">
        <f aca="false">IF(I101&gt;0,I101/$B$7,0)</f>
        <v>61.9214176738636</v>
      </c>
      <c r="J102" s="32" t="n">
        <f aca="false">IF(J101&gt;0,J101/$B$7,0)</f>
        <v>72.9104521421499</v>
      </c>
      <c r="K102" s="32" t="n">
        <f aca="false">IF(K101&gt;0,K101/$B$7,0)</f>
        <v>76.2875093767336</v>
      </c>
      <c r="L102" s="32" t="n">
        <f aca="false">IF(L101&gt;0,L101/$B$7,0)</f>
        <v>75.6118144816995</v>
      </c>
      <c r="M102" s="32" t="n">
        <f aca="false">IF(M101&gt;0,M101/$B$7,0)</f>
        <v>88.9552829096075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0.546090988590924</v>
      </c>
      <c r="F103" s="33" t="n">
        <f aca="false">IF(F101&gt;0,F102/$B$9,0)</f>
        <v>1.34731641632915</v>
      </c>
      <c r="G103" s="33" t="n">
        <f aca="false">IF(G101&gt;0,G102/$B$9,0)</f>
        <v>1.11380810945277</v>
      </c>
      <c r="H103" s="33" t="n">
        <f aca="false">IF(H101&gt;0,H102/$B$9,0)</f>
        <v>1.3384747764102</v>
      </c>
      <c r="I103" s="33" t="n">
        <f aca="false">IF(I101&gt;0,I102/$B$9,0)</f>
        <v>1.54803544184659</v>
      </c>
      <c r="J103" s="33" t="n">
        <f aca="false">IF(J101&gt;0,J102/$B$9,0)</f>
        <v>1.82276130355375</v>
      </c>
      <c r="K103" s="33" t="n">
        <f aca="false">IF(K101&gt;0,K102/$B$9,0)</f>
        <v>1.90718773441834</v>
      </c>
      <c r="L103" s="33" t="n">
        <f aca="false">IF(L101&gt;0,L102/$B$9,0)</f>
        <v>1.89029536204249</v>
      </c>
      <c r="M103" s="33" t="n">
        <f aca="false">IF(M101&gt;0,M102/$B$9,0)</f>
        <v>2.22388207274019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45.7799167580249</v>
      </c>
      <c r="F104" s="32" t="n">
        <f aca="false">IF(F101&gt;0,$B$9/F101,0)</f>
        <v>18.555403687661</v>
      </c>
      <c r="G104" s="32" t="n">
        <f aca="false">IF(G101&gt;0,$B$9/G101,0)</f>
        <v>22.4455180275918</v>
      </c>
      <c r="H104" s="32" t="n">
        <f aca="false">IF(H101&gt;0,$B$9/H101,0)</f>
        <v>18.6779761864846</v>
      </c>
      <c r="I104" s="32" t="n">
        <f aca="false">IF(I101&gt;0,$B$9/I101,0)</f>
        <v>16.1495010541739</v>
      </c>
      <c r="J104" s="32" t="n">
        <f aca="false">IF(J101&gt;0,$B$9/J101,0)</f>
        <v>13.7154546518289</v>
      </c>
      <c r="K104" s="32" t="n">
        <f aca="false">IF(K101&gt;0,$B$9/K101,0)</f>
        <v>13.1083057786257</v>
      </c>
      <c r="L104" s="32" t="n">
        <f aca="false">IF(L101&gt;0,$B$9/L101,0)</f>
        <v>13.2254464048344</v>
      </c>
      <c r="M104" s="32" t="n">
        <f aca="false">IF(M101&gt;0,$B$9/M101,0)</f>
        <v>11.2416032785389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7" t="n">
        <v>80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8" t="n">
        <v>0.05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17" t="n">
        <v>0.04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8" t="n">
        <v>0.07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17" t="n">
        <v>0.2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18" t="n">
        <v>60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17" t="n">
        <v>0.75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18" t="n">
        <v>0.22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17" t="n">
        <v>0.03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22" t="n">
        <f aca="false">$B$4</f>
        <v>80</v>
      </c>
      <c r="C26" s="22" t="n">
        <f aca="false">B26*(1+$B$5)</f>
        <v>84</v>
      </c>
      <c r="D26" s="22" t="n">
        <f aca="false">C26*(1+$B$5)</f>
        <v>88.2</v>
      </c>
      <c r="E26" s="22" t="n">
        <f aca="false">D26*(1+$B$5)</f>
        <v>92.61</v>
      </c>
      <c r="F26" s="22" t="n">
        <f aca="false">E26*(1+$B$5)</f>
        <v>97.2405</v>
      </c>
      <c r="G26" s="22" t="n">
        <f aca="false">F26*(1+$B$5)</f>
        <v>102.102525</v>
      </c>
      <c r="H26" s="22" t="n">
        <f aca="false">G26*(1+$B$5)</f>
        <v>107.20765125</v>
      </c>
      <c r="I26" s="22" t="n">
        <f aca="false">H26*(1+$B$5)</f>
        <v>112.5680338125</v>
      </c>
      <c r="J26" s="22" t="n">
        <f aca="false">I26*(1+$B$5)</f>
        <v>118.196435503125</v>
      </c>
      <c r="K26" s="22" t="n">
        <f aca="false">J26*(1+$B$5)</f>
        <v>124.106257278281</v>
      </c>
      <c r="L26" s="22" t="n">
        <f aca="false">K26*(1+$B$5)</f>
        <v>130.311570142195</v>
      </c>
      <c r="M26" s="22" t="n">
        <f aca="false">L26*(1+$B$5)</f>
        <v>136.827148649305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3.2</v>
      </c>
      <c r="C27" s="21" t="n">
        <f aca="false">C26*$B$6</f>
        <v>3.36</v>
      </c>
      <c r="D27" s="21" t="n">
        <f aca="false">D26*$B$6</f>
        <v>3.528</v>
      </c>
      <c r="E27" s="21" t="n">
        <f aca="false">E26*$B$6</f>
        <v>3.7044</v>
      </c>
      <c r="F27" s="21" t="n">
        <f aca="false">F26*$B$6</f>
        <v>3.88962</v>
      </c>
      <c r="G27" s="21" t="n">
        <f aca="false">G26*$B$6</f>
        <v>4.084101</v>
      </c>
      <c r="H27" s="21" t="n">
        <f aca="false">H26*$B$6</f>
        <v>4.28830605</v>
      </c>
      <c r="I27" s="21" t="n">
        <f aca="false">I26*$B$6</f>
        <v>4.5027213525</v>
      </c>
      <c r="J27" s="21" t="n">
        <f aca="false">J26*$B$6</f>
        <v>4.727857420125</v>
      </c>
      <c r="K27" s="21" t="n">
        <f aca="false">K26*$B$6</f>
        <v>4.96425029113125</v>
      </c>
      <c r="L27" s="21" t="n">
        <f aca="false">L26*$B$6</f>
        <v>5.21246280568782</v>
      </c>
      <c r="M27" s="21" t="n">
        <f aca="false">M26*$B$6</f>
        <v>5.47308594597221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76.8</v>
      </c>
      <c r="C28" s="22" t="n">
        <f aca="false">C26-C27</f>
        <v>80.64</v>
      </c>
      <c r="D28" s="22" t="n">
        <f aca="false">D26-D27</f>
        <v>84.672</v>
      </c>
      <c r="E28" s="22" t="n">
        <f aca="false">E26-E27</f>
        <v>88.9056</v>
      </c>
      <c r="F28" s="22" t="n">
        <f aca="false">F26-F27</f>
        <v>93.35088</v>
      </c>
      <c r="G28" s="22" t="n">
        <f aca="false">G26-G27</f>
        <v>98.018424</v>
      </c>
      <c r="H28" s="22" t="n">
        <f aca="false">H26-H27</f>
        <v>102.9193452</v>
      </c>
      <c r="I28" s="22" t="n">
        <f aca="false">I26-I27</f>
        <v>108.06531246</v>
      </c>
      <c r="J28" s="22" t="n">
        <f aca="false">J26-J27</f>
        <v>113.468578083</v>
      </c>
      <c r="K28" s="22" t="n">
        <f aca="false">K26-K27</f>
        <v>119.14200698715</v>
      </c>
      <c r="L28" s="22" t="n">
        <f aca="false">L26-L27</f>
        <v>125.099107336508</v>
      </c>
      <c r="M28" s="22" t="n">
        <f aca="false">M26-M27</f>
        <v>131.354062703333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76.8</v>
      </c>
      <c r="D31" s="21" t="n">
        <f aca="false">C34</f>
        <v>142.08</v>
      </c>
      <c r="E31" s="21" t="n">
        <f aca="false">D34</f>
        <v>198.336</v>
      </c>
      <c r="F31" s="21" t="n">
        <f aca="false">E34</f>
        <v>247.5744</v>
      </c>
      <c r="G31" s="21" t="n">
        <f aca="false">F34</f>
        <v>291.4104</v>
      </c>
      <c r="H31" s="21" t="n">
        <f aca="false">G34</f>
        <v>331.146744</v>
      </c>
      <c r="I31" s="21" t="n">
        <f aca="false">H34</f>
        <v>367.8367404</v>
      </c>
      <c r="J31" s="21" t="n">
        <f aca="false">I34</f>
        <v>402.33470478</v>
      </c>
      <c r="K31" s="21" t="n">
        <f aca="false">J34</f>
        <v>435.336341907</v>
      </c>
      <c r="L31" s="21" t="n">
        <f aca="false">K34</f>
        <v>467.41108051275</v>
      </c>
      <c r="M31" s="21" t="n">
        <f aca="false">L34</f>
        <v>499.027971746708</v>
      </c>
    </row>
    <row r="32" customFormat="false" ht="15" hidden="false" customHeight="false" outlineLevel="0" collapsed="false">
      <c r="A32" s="2" t="s">
        <v>112</v>
      </c>
      <c r="B32" s="22" t="n">
        <f aca="false">B28</f>
        <v>76.8</v>
      </c>
      <c r="C32" s="22" t="n">
        <f aca="false">C28</f>
        <v>80.64</v>
      </c>
      <c r="D32" s="22" t="n">
        <f aca="false">D28</f>
        <v>84.672</v>
      </c>
      <c r="E32" s="22" t="n">
        <f aca="false">E28</f>
        <v>88.9056</v>
      </c>
      <c r="F32" s="22" t="n">
        <f aca="false">F28</f>
        <v>93.35088</v>
      </c>
      <c r="G32" s="22" t="n">
        <f aca="false">G28</f>
        <v>98.018424</v>
      </c>
      <c r="H32" s="22" t="n">
        <f aca="false">H28</f>
        <v>102.9193452</v>
      </c>
      <c r="I32" s="22" t="n">
        <f aca="false">I28</f>
        <v>108.06531246</v>
      </c>
      <c r="J32" s="22" t="n">
        <f aca="false">J28</f>
        <v>113.468578083</v>
      </c>
      <c r="K32" s="22" t="n">
        <f aca="false">K28</f>
        <v>119.14200698715</v>
      </c>
      <c r="L32" s="22" t="n">
        <f aca="false">L28</f>
        <v>125.099107336508</v>
      </c>
      <c r="M32" s="22" t="n">
        <f aca="false">M28</f>
        <v>131.354062703333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15.36</v>
      </c>
      <c r="D33" s="21" t="n">
        <f aca="false">D31*$B$8</f>
        <v>28.416</v>
      </c>
      <c r="E33" s="21" t="n">
        <f aca="false">E31*$B$8</f>
        <v>39.6672</v>
      </c>
      <c r="F33" s="21" t="n">
        <f aca="false">F31*$B$8</f>
        <v>49.51488</v>
      </c>
      <c r="G33" s="21" t="n">
        <f aca="false">G31*$B$8</f>
        <v>58.28208</v>
      </c>
      <c r="H33" s="21" t="n">
        <f aca="false">H31*$B$8</f>
        <v>66.2293488</v>
      </c>
      <c r="I33" s="21" t="n">
        <f aca="false">I31*$B$8</f>
        <v>73.56734808</v>
      </c>
      <c r="J33" s="21" t="n">
        <f aca="false">J31*$B$8</f>
        <v>80.466940956</v>
      </c>
      <c r="K33" s="21" t="n">
        <f aca="false">K31*$B$8</f>
        <v>87.0672683814</v>
      </c>
      <c r="L33" s="21" t="n">
        <f aca="false">L31*$B$8</f>
        <v>93.48221610255</v>
      </c>
      <c r="M33" s="21" t="n">
        <f aca="false">M31*$B$8</f>
        <v>99.8055943493415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76.8</v>
      </c>
      <c r="C34" s="22" t="n">
        <f aca="false">C31+C32-C33</f>
        <v>142.08</v>
      </c>
      <c r="D34" s="22" t="n">
        <f aca="false">D31+D32-D33</f>
        <v>198.336</v>
      </c>
      <c r="E34" s="22" t="n">
        <f aca="false">E31+E32-E33</f>
        <v>247.5744</v>
      </c>
      <c r="F34" s="22" t="n">
        <f aca="false">F31+F32-F33</f>
        <v>291.4104</v>
      </c>
      <c r="G34" s="22" t="n">
        <f aca="false">G31+G32-G33</f>
        <v>331.146744</v>
      </c>
      <c r="H34" s="22" t="n">
        <f aca="false">H31+H32-H33</f>
        <v>367.8367404</v>
      </c>
      <c r="I34" s="22" t="n">
        <f aca="false">I31+I32-I33</f>
        <v>402.33470478</v>
      </c>
      <c r="J34" s="22" t="n">
        <f aca="false">J31+J32-J33</f>
        <v>435.336341907</v>
      </c>
      <c r="K34" s="22" t="n">
        <f aca="false">K31+K32-K33</f>
        <v>467.41108051275</v>
      </c>
      <c r="L34" s="22" t="n">
        <f aca="false">L31+L32-L33</f>
        <v>499.027971746708</v>
      </c>
      <c r="M34" s="22" t="n">
        <f aca="false">M31+M32-M33</f>
        <v>530.576440100699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38.4</v>
      </c>
      <c r="C35" s="21" t="n">
        <f aca="false">(C31+C34)/2</f>
        <v>109.44</v>
      </c>
      <c r="D35" s="21" t="n">
        <f aca="false">(D31+D34)/2</f>
        <v>170.208</v>
      </c>
      <c r="E35" s="21" t="n">
        <f aca="false">(E31+E34)/2</f>
        <v>222.9552</v>
      </c>
      <c r="F35" s="21" t="n">
        <f aca="false">(F31+F34)/2</f>
        <v>269.4924</v>
      </c>
      <c r="G35" s="21" t="n">
        <f aca="false">(G31+G34)/2</f>
        <v>311.278572</v>
      </c>
      <c r="H35" s="21" t="n">
        <f aca="false">(H31+H34)/2</f>
        <v>349.4917422</v>
      </c>
      <c r="I35" s="21" t="n">
        <f aca="false">(I31+I34)/2</f>
        <v>385.08572259</v>
      </c>
      <c r="J35" s="21" t="n">
        <f aca="false">(J31+J34)/2</f>
        <v>418.8355233435</v>
      </c>
      <c r="K35" s="21" t="n">
        <f aca="false">(K31+K34)/2</f>
        <v>451.373711209875</v>
      </c>
      <c r="L35" s="21" t="n">
        <f aca="false">(L31+L34)/2</f>
        <v>483.219526129729</v>
      </c>
      <c r="M35" s="21" t="n">
        <f aca="false">(M31+M34)/2</f>
        <v>514.802205923703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114278.4</v>
      </c>
      <c r="C37" s="21" t="n">
        <f aca="false">(C35*$D$17)*DAY(EOMONTH(C$25,0))*1440/$E$17*$B$12</f>
        <v>315187.2</v>
      </c>
      <c r="D37" s="21" t="n">
        <f aca="false">(D35*$D$17)*DAY(EOMONTH(D$25,0))*1440/$E$17*$B$12</f>
        <v>506539.008</v>
      </c>
      <c r="E37" s="21" t="n">
        <f aca="false">(E35*$D$17)*DAY(EOMONTH(E$25,0))*1440/$E$17*$B$12</f>
        <v>663514.6752</v>
      </c>
      <c r="F37" s="21" t="n">
        <f aca="false">(F35*$D$17)*DAY(EOMONTH(F$25,0))*1440/$E$17*$B$12</f>
        <v>724395.5712</v>
      </c>
      <c r="G37" s="21" t="n">
        <f aca="false">(G35*$D$17)*DAY(EOMONTH(G$25,0))*1440/$E$17*$B$12</f>
        <v>926365.030272</v>
      </c>
      <c r="H37" s="21" t="n">
        <f aca="false">(H35*$D$17)*DAY(EOMONTH(H$25,0))*1440/$E$17*$B$12</f>
        <v>1006536.217536</v>
      </c>
      <c r="I37" s="21" t="n">
        <f aca="false">(I35*$D$17)*DAY(EOMONTH(I$25,0))*1440/$E$17*$B$12</f>
        <v>1146015.11042784</v>
      </c>
      <c r="J37" s="21" t="n">
        <f aca="false">(J35*$D$17)*DAY(EOMONTH(J$25,0))*1440/$E$17*$B$12</f>
        <v>1206246.30722928</v>
      </c>
      <c r="K37" s="21" t="n">
        <f aca="false">(K35*$D$17)*DAY(EOMONTH(K$25,0))*1440/$E$17*$B$12</f>
        <v>1343288.16456059</v>
      </c>
      <c r="L37" s="21" t="n">
        <f aca="false">(L35*$D$17)*DAY(EOMONTH(L$25,0))*1440/$E$17*$B$12</f>
        <v>1438061.30976207</v>
      </c>
      <c r="M37" s="21" t="n">
        <f aca="false">(M35*$D$17)*DAY(EOMONTH(M$25,0))*1440/$E$17*$B$12</f>
        <v>1482630.35306027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19.534848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53.888256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86.58821376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113.421769344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123.901825824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158.35363514784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172.08973385928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195.900808795985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206.23461169434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229.622834366688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245.823437332716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253.488606196832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2.4</v>
      </c>
      <c r="D41" s="21" t="n">
        <f aca="false">C44</f>
        <v>4.752</v>
      </c>
      <c r="E41" s="21" t="n">
        <f aca="false">D44</f>
        <v>7.06536</v>
      </c>
      <c r="F41" s="21" t="n">
        <f aca="false">E44</f>
        <v>9.3490848</v>
      </c>
      <c r="G41" s="21" t="n">
        <f aca="false">F44</f>
        <v>11.611863864</v>
      </c>
      <c r="H41" s="21" t="n">
        <f aca="false">G44</f>
        <v>13.86210914352</v>
      </c>
      <c r="I41" s="21" t="n">
        <f aca="false">H44</f>
        <v>16.1079910409736</v>
      </c>
      <c r="J41" s="21" t="n">
        <f aca="false">I44</f>
        <v>18.3574726824805</v>
      </c>
      <c r="K41" s="21" t="n">
        <f aca="false">J44</f>
        <v>20.6183426598006</v>
      </c>
      <c r="L41" s="21" t="n">
        <f aca="false">K44</f>
        <v>22.898246391963</v>
      </c>
      <c r="M41" s="21" t="n">
        <f aca="false">L44</f>
        <v>25.2047162487914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2.4</v>
      </c>
      <c r="C42" s="22" t="n">
        <f aca="false">C27*$C$18</f>
        <v>2.52</v>
      </c>
      <c r="D42" s="22" t="n">
        <f aca="false">D27*$C$18</f>
        <v>2.646</v>
      </c>
      <c r="E42" s="22" t="n">
        <f aca="false">E27*$C$18</f>
        <v>2.7783</v>
      </c>
      <c r="F42" s="22" t="n">
        <f aca="false">F27*$C$18</f>
        <v>2.917215</v>
      </c>
      <c r="G42" s="22" t="n">
        <f aca="false">G27*$C$18</f>
        <v>3.06307575</v>
      </c>
      <c r="H42" s="22" t="n">
        <f aca="false">H27*$C$18</f>
        <v>3.2162295375</v>
      </c>
      <c r="I42" s="22" t="n">
        <f aca="false">I27*$C$18</f>
        <v>3.377041014375</v>
      </c>
      <c r="J42" s="22" t="n">
        <f aca="false">J27*$C$18</f>
        <v>3.54589306509375</v>
      </c>
      <c r="K42" s="22" t="n">
        <f aca="false">K27*$C$18</f>
        <v>3.72318771834844</v>
      </c>
      <c r="L42" s="22" t="n">
        <f aca="false">L27*$C$18</f>
        <v>3.90934710426586</v>
      </c>
      <c r="M42" s="22" t="n">
        <f aca="false">M27*$C$18</f>
        <v>4.10481445947915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0.168</v>
      </c>
      <c r="D43" s="21" t="n">
        <f aca="false">D41*$B$7</f>
        <v>0.33264</v>
      </c>
      <c r="E43" s="21" t="n">
        <f aca="false">E41*$B$7</f>
        <v>0.4945752</v>
      </c>
      <c r="F43" s="21" t="n">
        <f aca="false">F41*$B$7</f>
        <v>0.654435936</v>
      </c>
      <c r="G43" s="21" t="n">
        <f aca="false">G41*$B$7</f>
        <v>0.81283047048</v>
      </c>
      <c r="H43" s="21" t="n">
        <f aca="false">H41*$B$7</f>
        <v>0.9703476400464</v>
      </c>
      <c r="I43" s="21" t="n">
        <f aca="false">I41*$B$7</f>
        <v>1.12755937286815</v>
      </c>
      <c r="J43" s="21" t="n">
        <f aca="false">J41*$B$7</f>
        <v>1.28502308777363</v>
      </c>
      <c r="K43" s="21" t="n">
        <f aca="false">K41*$B$7</f>
        <v>1.44328398618604</v>
      </c>
      <c r="L43" s="21" t="n">
        <f aca="false">L41*$B$7</f>
        <v>1.60287724743741</v>
      </c>
      <c r="M43" s="21" t="n">
        <f aca="false">M41*$B$7</f>
        <v>1.7643301374154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2.4</v>
      </c>
      <c r="C44" s="22" t="n">
        <f aca="false">C41+C42-C43</f>
        <v>4.752</v>
      </c>
      <c r="D44" s="22" t="n">
        <f aca="false">D41+D42-D43</f>
        <v>7.06536</v>
      </c>
      <c r="E44" s="22" t="n">
        <f aca="false">E41+E42-E43</f>
        <v>9.3490848</v>
      </c>
      <c r="F44" s="22" t="n">
        <f aca="false">F41+F42-F43</f>
        <v>11.611863864</v>
      </c>
      <c r="G44" s="22" t="n">
        <f aca="false">G41+G42-G43</f>
        <v>13.86210914352</v>
      </c>
      <c r="H44" s="22" t="n">
        <f aca="false">H41+H42-H43</f>
        <v>16.1079910409736</v>
      </c>
      <c r="I44" s="22" t="n">
        <f aca="false">I41+I42-I43</f>
        <v>18.3574726824805</v>
      </c>
      <c r="J44" s="22" t="n">
        <f aca="false">J41+J42-J43</f>
        <v>20.6183426598006</v>
      </c>
      <c r="K44" s="22" t="n">
        <f aca="false">K41+K42-K43</f>
        <v>22.898246391963</v>
      </c>
      <c r="L44" s="22" t="n">
        <f aca="false">L41+L42-L43</f>
        <v>25.2047162487914</v>
      </c>
      <c r="M44" s="22" t="n">
        <f aca="false">M41+M42-M43</f>
        <v>27.5452005708552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1.2</v>
      </c>
      <c r="C45" s="21" t="n">
        <f aca="false">(C41+C44)/2</f>
        <v>3.576</v>
      </c>
      <c r="D45" s="21" t="n">
        <f aca="false">(D41+D44)/2</f>
        <v>5.90868</v>
      </c>
      <c r="E45" s="21" t="n">
        <f aca="false">(E41+E44)/2</f>
        <v>8.2072224</v>
      </c>
      <c r="F45" s="21" t="n">
        <f aca="false">(F41+F44)/2</f>
        <v>10.480474332</v>
      </c>
      <c r="G45" s="21" t="n">
        <f aca="false">(G41+G44)/2</f>
        <v>12.73698650376</v>
      </c>
      <c r="H45" s="21" t="n">
        <f aca="false">(H41+H44)/2</f>
        <v>14.9850500922468</v>
      </c>
      <c r="I45" s="21" t="n">
        <f aca="false">(I41+I44)/2</f>
        <v>17.232731861727</v>
      </c>
      <c r="J45" s="21" t="n">
        <f aca="false">(J41+J44)/2</f>
        <v>19.4879076711405</v>
      </c>
      <c r="K45" s="21" t="n">
        <f aca="false">(K41+K44)/2</f>
        <v>21.7582945258818</v>
      </c>
      <c r="L45" s="21" t="n">
        <f aca="false">(L41+L44)/2</f>
        <v>24.0514813203772</v>
      </c>
      <c r="M45" s="21" t="n">
        <f aca="false">(M41+M44)/2</f>
        <v>26.3749584098233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10.8</v>
      </c>
      <c r="C46" s="22" t="n">
        <f aca="false">C45*$B$18</f>
        <v>32.184</v>
      </c>
      <c r="D46" s="22" t="n">
        <f aca="false">D45*$B$18</f>
        <v>53.17812</v>
      </c>
      <c r="E46" s="22" t="n">
        <f aca="false">E45*$B$18</f>
        <v>73.8650016</v>
      </c>
      <c r="F46" s="22" t="n">
        <f aca="false">F45*$B$18</f>
        <v>94.324268988</v>
      </c>
      <c r="G46" s="22" t="n">
        <f aca="false">G45*$B$18</f>
        <v>114.63287853384</v>
      </c>
      <c r="H46" s="22" t="n">
        <f aca="false">H45*$B$18</f>
        <v>134.865450830221</v>
      </c>
      <c r="I46" s="22" t="n">
        <f aca="false">I45*$B$18</f>
        <v>155.094586755543</v>
      </c>
      <c r="J46" s="22" t="n">
        <f aca="false">J45*$B$18</f>
        <v>175.391169040265</v>
      </c>
      <c r="K46" s="22" t="n">
        <f aca="false">K45*$B$18</f>
        <v>195.824650732936</v>
      </c>
      <c r="L46" s="22" t="n">
        <f aca="false">L45*$B$18</f>
        <v>216.463331883395</v>
      </c>
      <c r="M46" s="22" t="n">
        <f aca="false">M45*$B$18</f>
        <v>237.37462568841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32140.8</v>
      </c>
      <c r="C47" s="21" t="n">
        <f aca="false">(C45*$D$18)*DAY(EOMONTH(C$25,0))*1440/$E$18*$B$12</f>
        <v>92689.92</v>
      </c>
      <c r="D47" s="21" t="n">
        <f aca="false">(D45*$D$18)*DAY(EOMONTH(D$25,0))*1440/$E$18*$B$12</f>
        <v>158258.08512</v>
      </c>
      <c r="E47" s="21" t="n">
        <f aca="false">(E45*$D$18)*DAY(EOMONTH(E$25,0))*1440/$E$18*$B$12</f>
        <v>219822.2447616</v>
      </c>
      <c r="F47" s="21" t="n">
        <f aca="false">(F45*$D$18)*DAY(EOMONTH(F$25,0))*1440/$E$18*$B$12</f>
        <v>253543.635039744</v>
      </c>
      <c r="G47" s="21" t="n">
        <f aca="false">(G45*$D$18)*DAY(EOMONTH(G$25,0))*1440/$E$18*$B$12</f>
        <v>341147.446516708</v>
      </c>
      <c r="H47" s="21" t="n">
        <f aca="false">(H45*$D$18)*DAY(EOMONTH(H$25,0))*1440/$E$18*$B$12</f>
        <v>388412.498391037</v>
      </c>
      <c r="I47" s="21" t="n">
        <f aca="false">(I45*$D$18)*DAY(EOMONTH(I$25,0))*1440/$E$18*$B$12</f>
        <v>461561.490184497</v>
      </c>
      <c r="J47" s="21" t="n">
        <f aca="false">(J45*$D$18)*DAY(EOMONTH(J$25,0))*1440/$E$18*$B$12</f>
        <v>505126.566835962</v>
      </c>
      <c r="K47" s="21" t="n">
        <f aca="false">(K45*$D$18)*DAY(EOMONTH(K$25,0))*1440/$E$18*$B$12</f>
        <v>582774.160581217</v>
      </c>
      <c r="L47" s="21" t="n">
        <f aca="false">(L45*$D$18)*DAY(EOMONTH(L$25,0))*1440/$E$18*$B$12</f>
        <v>644194.875684983</v>
      </c>
      <c r="M47" s="21" t="n">
        <f aca="false">(M45*$D$18)*DAY(EOMONTH(M$25,0))*1440/$E$18*$B$12</f>
        <v>683638.92198262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0.864</v>
      </c>
      <c r="C48" s="22" t="n">
        <f aca="false">(C45*$D$18)*Inputs!$B$8*$B$13*Inputs!$B$9*$F$18</f>
        <v>2.57472</v>
      </c>
      <c r="D48" s="22" t="n">
        <f aca="false">(D45*$D$18)*Inputs!$B$8*$B$13*Inputs!$B$9*$F$18</f>
        <v>4.2542496</v>
      </c>
      <c r="E48" s="22" t="n">
        <f aca="false">(E45*$D$18)*Inputs!$B$8*$B$13*Inputs!$B$9*$F$18</f>
        <v>5.909200128</v>
      </c>
      <c r="F48" s="22" t="n">
        <f aca="false">(F45*$D$18)*Inputs!$B$8*$B$13*Inputs!$B$9*$F$18</f>
        <v>7.54594151904</v>
      </c>
      <c r="G48" s="22" t="n">
        <f aca="false">(G45*$D$18)*Inputs!$B$8*$B$13*Inputs!$B$9*$F$18</f>
        <v>9.1706302827072</v>
      </c>
      <c r="H48" s="22" t="n">
        <f aca="false">(H45*$D$18)*Inputs!$B$8*$B$13*Inputs!$B$9*$F$18</f>
        <v>10.7892360664177</v>
      </c>
      <c r="I48" s="22" t="n">
        <f aca="false">(I45*$D$18)*Inputs!$B$8*$B$13*Inputs!$B$9*$F$18</f>
        <v>12.4075669404435</v>
      </c>
      <c r="J48" s="22" t="n">
        <f aca="false">(J45*$D$18)*Inputs!$B$8*$B$13*Inputs!$B$9*$F$18</f>
        <v>14.0312935232212</v>
      </c>
      <c r="K48" s="22" t="n">
        <f aca="false">(K45*$D$18)*Inputs!$B$8*$B$13*Inputs!$B$9*$F$18</f>
        <v>15.6659720586349</v>
      </c>
      <c r="L48" s="22" t="n">
        <f aca="false">(L45*$D$18)*Inputs!$B$8*$B$13*Inputs!$B$9*$F$18</f>
        <v>17.3170665506716</v>
      </c>
      <c r="M48" s="22" t="n">
        <f aca="false">(M45*$D$18)*Inputs!$B$8*$B$13*Inputs!$B$9*$F$18</f>
        <v>18.9899700550728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7.19826432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20.2055847936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34.017933685248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47.1118554735207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55.4448453842737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72.919937086081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83.5289892764222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98.5390684347053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108.529633033706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124.332793160148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137.404625942093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146.776232953224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0.704</v>
      </c>
      <c r="D51" s="21" t="n">
        <f aca="false">C54</f>
        <v>1.39392</v>
      </c>
      <c r="E51" s="21" t="n">
        <f aca="false">D54</f>
        <v>2.0725056</v>
      </c>
      <c r="F51" s="21" t="n">
        <f aca="false">E54</f>
        <v>2.742398208</v>
      </c>
      <c r="G51" s="21" t="n">
        <f aca="false">F54</f>
        <v>3.40614673344</v>
      </c>
      <c r="H51" s="21" t="n">
        <f aca="false">G54</f>
        <v>4.0662186820992</v>
      </c>
      <c r="I51" s="21" t="n">
        <f aca="false">H54</f>
        <v>4.72501070535226</v>
      </c>
      <c r="J51" s="21" t="n">
        <f aca="false">I54</f>
        <v>5.3848586535276</v>
      </c>
      <c r="K51" s="21" t="n">
        <f aca="false">J54</f>
        <v>6.04804718020817</v>
      </c>
      <c r="L51" s="21" t="n">
        <f aca="false">K54</f>
        <v>6.71681894164247</v>
      </c>
      <c r="M51" s="21" t="n">
        <f aca="false">L54</f>
        <v>7.39338343297882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0.704</v>
      </c>
      <c r="C52" s="22" t="n">
        <f aca="false">C27*$C$19</f>
        <v>0.7392</v>
      </c>
      <c r="D52" s="22" t="n">
        <f aca="false">D27*$C$19</f>
        <v>0.77616</v>
      </c>
      <c r="E52" s="22" t="n">
        <f aca="false">E27*$C$19</f>
        <v>0.814968</v>
      </c>
      <c r="F52" s="22" t="n">
        <f aca="false">F27*$C$19</f>
        <v>0.8557164</v>
      </c>
      <c r="G52" s="22" t="n">
        <f aca="false">G27*$C$19</f>
        <v>0.89850222</v>
      </c>
      <c r="H52" s="22" t="n">
        <f aca="false">H27*$C$19</f>
        <v>0.943427331</v>
      </c>
      <c r="I52" s="22" t="n">
        <f aca="false">I27*$C$19</f>
        <v>0.99059869755</v>
      </c>
      <c r="J52" s="22" t="n">
        <f aca="false">J27*$C$19</f>
        <v>1.0401286324275</v>
      </c>
      <c r="K52" s="22" t="n">
        <f aca="false">K27*$C$19</f>
        <v>1.09213506404888</v>
      </c>
      <c r="L52" s="22" t="n">
        <f aca="false">L27*$C$19</f>
        <v>1.14674181725132</v>
      </c>
      <c r="M52" s="22" t="n">
        <f aca="false">M27*$C$19</f>
        <v>1.20407890811389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0.04928</v>
      </c>
      <c r="D53" s="21" t="n">
        <f aca="false">D51*$B$7</f>
        <v>0.0975744</v>
      </c>
      <c r="E53" s="21" t="n">
        <f aca="false">E51*$B$7</f>
        <v>0.145075392</v>
      </c>
      <c r="F53" s="21" t="n">
        <f aca="false">F51*$B$7</f>
        <v>0.19196787456</v>
      </c>
      <c r="G53" s="21" t="n">
        <f aca="false">G51*$B$7</f>
        <v>0.2384302713408</v>
      </c>
      <c r="H53" s="21" t="n">
        <f aca="false">H51*$B$7</f>
        <v>0.284635307746944</v>
      </c>
      <c r="I53" s="21" t="n">
        <f aca="false">I51*$B$7</f>
        <v>0.330750749374658</v>
      </c>
      <c r="J53" s="21" t="n">
        <f aca="false">J51*$B$7</f>
        <v>0.376940105746932</v>
      </c>
      <c r="K53" s="21" t="n">
        <f aca="false">K51*$B$7</f>
        <v>0.423363302614572</v>
      </c>
      <c r="L53" s="21" t="n">
        <f aca="false">L51*$B$7</f>
        <v>0.470177325914973</v>
      </c>
      <c r="M53" s="21" t="n">
        <f aca="false">M51*$B$7</f>
        <v>0.517536840308517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0.704</v>
      </c>
      <c r="C54" s="22" t="n">
        <f aca="false">C51+C52-C53</f>
        <v>1.39392</v>
      </c>
      <c r="D54" s="22" t="n">
        <f aca="false">D51+D52-D53</f>
        <v>2.0725056</v>
      </c>
      <c r="E54" s="22" t="n">
        <f aca="false">E51+E52-E53</f>
        <v>2.742398208</v>
      </c>
      <c r="F54" s="22" t="n">
        <f aca="false">F51+F52-F53</f>
        <v>3.40614673344</v>
      </c>
      <c r="G54" s="22" t="n">
        <f aca="false">G51+G52-G53</f>
        <v>4.0662186820992</v>
      </c>
      <c r="H54" s="22" t="n">
        <f aca="false">H51+H52-H53</f>
        <v>4.72501070535226</v>
      </c>
      <c r="I54" s="22" t="n">
        <f aca="false">I51+I52-I53</f>
        <v>5.3848586535276</v>
      </c>
      <c r="J54" s="22" t="n">
        <f aca="false">J51+J52-J53</f>
        <v>6.04804718020817</v>
      </c>
      <c r="K54" s="22" t="n">
        <f aca="false">K51+K52-K53</f>
        <v>6.71681894164247</v>
      </c>
      <c r="L54" s="22" t="n">
        <f aca="false">L51+L52-L53</f>
        <v>7.39338343297882</v>
      </c>
      <c r="M54" s="22" t="n">
        <f aca="false">M51+M52-M53</f>
        <v>8.07992550078419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0.352</v>
      </c>
      <c r="C55" s="21" t="n">
        <f aca="false">(C51+C54)/2</f>
        <v>1.04896</v>
      </c>
      <c r="D55" s="21" t="n">
        <f aca="false">(D51+D54)/2</f>
        <v>1.7332128</v>
      </c>
      <c r="E55" s="21" t="n">
        <f aca="false">(E51+E54)/2</f>
        <v>2.407451904</v>
      </c>
      <c r="F55" s="21" t="n">
        <f aca="false">(F51+F54)/2</f>
        <v>3.07427247072</v>
      </c>
      <c r="G55" s="21" t="n">
        <f aca="false">(G51+G54)/2</f>
        <v>3.7361827077696</v>
      </c>
      <c r="H55" s="21" t="n">
        <f aca="false">(H51+H54)/2</f>
        <v>4.39561469372573</v>
      </c>
      <c r="I55" s="21" t="n">
        <f aca="false">(I51+I54)/2</f>
        <v>5.05493467943993</v>
      </c>
      <c r="J55" s="21" t="n">
        <f aca="false">(J51+J54)/2</f>
        <v>5.71645291686788</v>
      </c>
      <c r="K55" s="21" t="n">
        <f aca="false">(K51+K54)/2</f>
        <v>6.38243306092532</v>
      </c>
      <c r="L55" s="21" t="n">
        <f aca="false">(L51+L54)/2</f>
        <v>7.05510118731064</v>
      </c>
      <c r="M55" s="21" t="n">
        <f aca="false">(M51+M54)/2</f>
        <v>7.7366544668815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10.208</v>
      </c>
      <c r="C56" s="22" t="n">
        <f aca="false">C55*$B$19</f>
        <v>30.41984</v>
      </c>
      <c r="D56" s="22" t="n">
        <f aca="false">D55*$B$19</f>
        <v>50.2631712</v>
      </c>
      <c r="E56" s="22" t="n">
        <f aca="false">E55*$B$19</f>
        <v>69.816105216</v>
      </c>
      <c r="F56" s="22" t="n">
        <f aca="false">F55*$B$19</f>
        <v>89.15390165088</v>
      </c>
      <c r="G56" s="22" t="n">
        <f aca="false">G55*$B$19</f>
        <v>108.349298525318</v>
      </c>
      <c r="H56" s="22" t="n">
        <f aca="false">H55*$B$19</f>
        <v>127.472826118046</v>
      </c>
      <c r="I56" s="22" t="n">
        <f aca="false">I55*$B$19</f>
        <v>146.593105703758</v>
      </c>
      <c r="J56" s="22" t="n">
        <f aca="false">J55*$B$19</f>
        <v>165.777134589169</v>
      </c>
      <c r="K56" s="22" t="n">
        <f aca="false">K55*$B$19</f>
        <v>185.090558766834</v>
      </c>
      <c r="L56" s="22" t="n">
        <f aca="false">L55*$B$19</f>
        <v>204.597934432009</v>
      </c>
      <c r="M56" s="22" t="n">
        <f aca="false">M55*$B$19</f>
        <v>224.362979539564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31426.56</v>
      </c>
      <c r="C57" s="21" t="n">
        <f aca="false">(C55*$D$19)*DAY(EOMONTH(C$25,0))*1440/$E$19*$B$12</f>
        <v>90630.144</v>
      </c>
      <c r="D57" s="21" t="n">
        <f aca="false">(D55*$D$19)*DAY(EOMONTH(D$25,0))*1440/$E$19*$B$12</f>
        <v>154741.238784</v>
      </c>
      <c r="E57" s="21" t="n">
        <f aca="false">(E55*$D$19)*DAY(EOMONTH(E$25,0))*1440/$E$19*$B$12</f>
        <v>214937.30598912</v>
      </c>
      <c r="F57" s="21" t="n">
        <f aca="false">(F55*$D$19)*DAY(EOMONTH(F$25,0))*1440/$E$19*$B$12</f>
        <v>247909.332038861</v>
      </c>
      <c r="G57" s="21" t="n">
        <f aca="false">(G55*$D$19)*DAY(EOMONTH(G$25,0))*1440/$E$19*$B$12</f>
        <v>333566.39214967</v>
      </c>
      <c r="H57" s="21" t="n">
        <f aca="false">(H55*$D$19)*DAY(EOMONTH(H$25,0))*1440/$E$19*$B$12</f>
        <v>379781.109537903</v>
      </c>
      <c r="I57" s="21" t="n">
        <f aca="false">(I55*$D$19)*DAY(EOMONTH(I$25,0))*1440/$E$19*$B$12</f>
        <v>451304.568180397</v>
      </c>
      <c r="J57" s="21" t="n">
        <f aca="false">(J55*$D$19)*DAY(EOMONTH(J$25,0))*1440/$E$19*$B$12</f>
        <v>493901.532017385</v>
      </c>
      <c r="K57" s="21" t="n">
        <f aca="false">(K55*$D$19)*DAY(EOMONTH(K$25,0))*1440/$E$19*$B$12</f>
        <v>569823.623679412</v>
      </c>
      <c r="L57" s="21" t="n">
        <f aca="false">(L55*$D$19)*DAY(EOMONTH(L$25,0))*1440/$E$19*$B$12</f>
        <v>629879.434003094</v>
      </c>
      <c r="M57" s="21" t="n">
        <f aca="false">(M55*$D$19)*DAY(EOMONTH(M$25,0))*1440/$E$19*$B$12</f>
        <v>668446.945938562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0.8448</v>
      </c>
      <c r="C58" s="22" t="n">
        <f aca="false">(C55*$D$19)*Inputs!$B$8*$B$13*Inputs!$B$9*$F$19</f>
        <v>2.517504</v>
      </c>
      <c r="D58" s="22" t="n">
        <f aca="false">(D55*$D$19)*Inputs!$B$8*$B$13*Inputs!$B$9*$F$19</f>
        <v>4.15971072</v>
      </c>
      <c r="E58" s="22" t="n">
        <f aca="false">(E55*$D$19)*Inputs!$B$8*$B$13*Inputs!$B$9*$F$19</f>
        <v>5.7778845696</v>
      </c>
      <c r="F58" s="22" t="n">
        <f aca="false">(F55*$D$19)*Inputs!$B$8*$B$13*Inputs!$B$9*$F$19</f>
        <v>7.378253929728</v>
      </c>
      <c r="G58" s="22" t="n">
        <f aca="false">(G55*$D$19)*Inputs!$B$8*$B$13*Inputs!$B$9*$F$19</f>
        <v>8.96683849864704</v>
      </c>
      <c r="H58" s="22" t="n">
        <f aca="false">(H55*$D$19)*Inputs!$B$8*$B$13*Inputs!$B$9*$F$19</f>
        <v>10.5494752649418</v>
      </c>
      <c r="I58" s="22" t="n">
        <f aca="false">(I55*$D$19)*Inputs!$B$8*$B$13*Inputs!$B$9*$F$19</f>
        <v>12.1318432306558</v>
      </c>
      <c r="J58" s="22" t="n">
        <f aca="false">(J55*$D$19)*Inputs!$B$8*$B$13*Inputs!$B$9*$F$19</f>
        <v>13.7194870004829</v>
      </c>
      <c r="K58" s="22" t="n">
        <f aca="false">(K55*$D$19)*Inputs!$B$8*$B$13*Inputs!$B$9*$F$19</f>
        <v>15.3178393462208</v>
      </c>
      <c r="L58" s="22" t="n">
        <f aca="false">(L55*$D$19)*Inputs!$B$8*$B$13*Inputs!$B$9*$F$19</f>
        <v>16.9322428495455</v>
      </c>
      <c r="M58" s="22" t="n">
        <f aca="false">(M55*$D$19)*Inputs!$B$8*$B$13*Inputs!$B$9*$F$19</f>
        <v>18.5679707205156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6.122164224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17.51927857152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29.7267484225536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41.2498844497429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48.1311099708737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63.9597585590433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73.0788227493232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86.5005088597694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95.0092430099029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109.192129447278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120.690886379022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128.553974598211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0.096</v>
      </c>
      <c r="D61" s="21" t="n">
        <f aca="false">C64</f>
        <v>0.19008</v>
      </c>
      <c r="E61" s="21" t="n">
        <f aca="false">D64</f>
        <v>0.2826144</v>
      </c>
      <c r="F61" s="21" t="n">
        <f aca="false">E64</f>
        <v>0.373963392</v>
      </c>
      <c r="G61" s="21" t="n">
        <f aca="false">F64</f>
        <v>0.46447455456</v>
      </c>
      <c r="H61" s="21" t="n">
        <f aca="false">G64</f>
        <v>0.5544843657408</v>
      </c>
      <c r="I61" s="21" t="n">
        <f aca="false">H64</f>
        <v>0.644319641638944</v>
      </c>
      <c r="J61" s="21" t="n">
        <f aca="false">I64</f>
        <v>0.734298907299218</v>
      </c>
      <c r="K61" s="21" t="n">
        <f aca="false">J64</f>
        <v>0.824733706392023</v>
      </c>
      <c r="L61" s="21" t="n">
        <f aca="false">K64</f>
        <v>0.915929855678519</v>
      </c>
      <c r="M61" s="21" t="n">
        <f aca="false">L64</f>
        <v>1.00818864995166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0.096</v>
      </c>
      <c r="C62" s="22" t="n">
        <f aca="false">C27*$C$20</f>
        <v>0.1008</v>
      </c>
      <c r="D62" s="22" t="n">
        <f aca="false">D27*$C$20</f>
        <v>0.10584</v>
      </c>
      <c r="E62" s="22" t="n">
        <f aca="false">E27*$C$20</f>
        <v>0.111132</v>
      </c>
      <c r="F62" s="22" t="n">
        <f aca="false">F27*$C$20</f>
        <v>0.1166886</v>
      </c>
      <c r="G62" s="22" t="n">
        <f aca="false">G27*$C$20</f>
        <v>0.12252303</v>
      </c>
      <c r="H62" s="22" t="n">
        <f aca="false">H27*$C$20</f>
        <v>0.1286491815</v>
      </c>
      <c r="I62" s="22" t="n">
        <f aca="false">I27*$C$20</f>
        <v>0.135081640575</v>
      </c>
      <c r="J62" s="22" t="n">
        <f aca="false">J27*$C$20</f>
        <v>0.14183572260375</v>
      </c>
      <c r="K62" s="22" t="n">
        <f aca="false">K27*$C$20</f>
        <v>0.148927508733938</v>
      </c>
      <c r="L62" s="22" t="n">
        <f aca="false">L27*$C$20</f>
        <v>0.156373884170634</v>
      </c>
      <c r="M62" s="22" t="n">
        <f aca="false">M27*$C$20</f>
        <v>0.164192578379166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0.00672</v>
      </c>
      <c r="D63" s="21" t="n">
        <f aca="false">D61*$B$7</f>
        <v>0.0133056</v>
      </c>
      <c r="E63" s="21" t="n">
        <f aca="false">E61*$B$7</f>
        <v>0.019783008</v>
      </c>
      <c r="F63" s="21" t="n">
        <f aca="false">F61*$B$7</f>
        <v>0.02617743744</v>
      </c>
      <c r="G63" s="21" t="n">
        <f aca="false">G61*$B$7</f>
        <v>0.0325132188192</v>
      </c>
      <c r="H63" s="21" t="n">
        <f aca="false">H61*$B$7</f>
        <v>0.038813905601856</v>
      </c>
      <c r="I63" s="21" t="n">
        <f aca="false">I61*$B$7</f>
        <v>0.0451023749147261</v>
      </c>
      <c r="J63" s="21" t="n">
        <f aca="false">J61*$B$7</f>
        <v>0.0514009235109453</v>
      </c>
      <c r="K63" s="21" t="n">
        <f aca="false">K61*$B$7</f>
        <v>0.0577313594474416</v>
      </c>
      <c r="L63" s="21" t="n">
        <f aca="false">L61*$B$7</f>
        <v>0.0641150898974963</v>
      </c>
      <c r="M63" s="21" t="n">
        <f aca="false">M61*$B$7</f>
        <v>0.070573205496616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0.096</v>
      </c>
      <c r="C64" s="22" t="n">
        <f aca="false">C61+C62-C63</f>
        <v>0.19008</v>
      </c>
      <c r="D64" s="22" t="n">
        <f aca="false">D61+D62-D63</f>
        <v>0.2826144</v>
      </c>
      <c r="E64" s="22" t="n">
        <f aca="false">E61+E62-E63</f>
        <v>0.373963392</v>
      </c>
      <c r="F64" s="22" t="n">
        <f aca="false">F61+F62-F63</f>
        <v>0.46447455456</v>
      </c>
      <c r="G64" s="22" t="n">
        <f aca="false">G61+G62-G63</f>
        <v>0.5544843657408</v>
      </c>
      <c r="H64" s="22" t="n">
        <f aca="false">H61+H62-H63</f>
        <v>0.644319641638944</v>
      </c>
      <c r="I64" s="22" t="n">
        <f aca="false">I61+I62-I63</f>
        <v>0.734298907299218</v>
      </c>
      <c r="J64" s="22" t="n">
        <f aca="false">J61+J62-J63</f>
        <v>0.824733706392023</v>
      </c>
      <c r="K64" s="22" t="n">
        <f aca="false">K61+K62-K63</f>
        <v>0.915929855678519</v>
      </c>
      <c r="L64" s="22" t="n">
        <f aca="false">L61+L62-L63</f>
        <v>1.00818864995166</v>
      </c>
      <c r="M64" s="22" t="n">
        <f aca="false">M61+M62-M63</f>
        <v>1.10180802283421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0.048</v>
      </c>
      <c r="C65" s="21" t="n">
        <f aca="false">(C61+C64)/2</f>
        <v>0.14304</v>
      </c>
      <c r="D65" s="21" t="n">
        <f aca="false">(D61+D64)/2</f>
        <v>0.2363472</v>
      </c>
      <c r="E65" s="21" t="n">
        <f aca="false">(E61+E64)/2</f>
        <v>0.328288896</v>
      </c>
      <c r="F65" s="21" t="n">
        <f aca="false">(F61+F64)/2</f>
        <v>0.41921897328</v>
      </c>
      <c r="G65" s="21" t="n">
        <f aca="false">(G61+G64)/2</f>
        <v>0.5094794601504</v>
      </c>
      <c r="H65" s="21" t="n">
        <f aca="false">(H61+H64)/2</f>
        <v>0.599402003689872</v>
      </c>
      <c r="I65" s="21" t="n">
        <f aca="false">(I61+I64)/2</f>
        <v>0.689309274469081</v>
      </c>
      <c r="J65" s="21" t="n">
        <f aca="false">(J61+J64)/2</f>
        <v>0.77951630684562</v>
      </c>
      <c r="K65" s="21" t="n">
        <f aca="false">(K61+K64)/2</f>
        <v>0.870331781035271</v>
      </c>
      <c r="L65" s="21" t="n">
        <f aca="false">(L61+L64)/2</f>
        <v>0.962059252815088</v>
      </c>
      <c r="M65" s="21" t="n">
        <f aca="false">(M61+M64)/2</f>
        <v>1.05499833639293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4.752</v>
      </c>
      <c r="C66" s="22" t="n">
        <f aca="false">C65*$B$20</f>
        <v>14.16096</v>
      </c>
      <c r="D66" s="22" t="n">
        <f aca="false">D65*$B$20</f>
        <v>23.3983728</v>
      </c>
      <c r="E66" s="22" t="n">
        <f aca="false">E65*$B$20</f>
        <v>32.500600704</v>
      </c>
      <c r="F66" s="22" t="n">
        <f aca="false">F65*$B$20</f>
        <v>41.50267835472</v>
      </c>
      <c r="G66" s="22" t="n">
        <f aca="false">G65*$B$20</f>
        <v>50.4384665548896</v>
      </c>
      <c r="H66" s="22" t="n">
        <f aca="false">H65*$B$20</f>
        <v>59.3407983652973</v>
      </c>
      <c r="I66" s="22" t="n">
        <f aca="false">I65*$B$20</f>
        <v>68.241618172439</v>
      </c>
      <c r="J66" s="22" t="n">
        <f aca="false">J65*$B$20</f>
        <v>77.1721143777164</v>
      </c>
      <c r="K66" s="22" t="n">
        <f aca="false">K65*$B$20</f>
        <v>86.1628463224918</v>
      </c>
      <c r="L66" s="22" t="n">
        <f aca="false">L65*$B$20</f>
        <v>95.2438660286937</v>
      </c>
      <c r="M66" s="22" t="n">
        <f aca="false">M65*$B$20</f>
        <v>104.4448353029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12856.32</v>
      </c>
      <c r="C67" s="21" t="n">
        <f aca="false">(C65*$D$20)*DAY(EOMONTH(C$25,0))*1440/$E$20*$B$12</f>
        <v>37075.968</v>
      </c>
      <c r="D67" s="21" t="n">
        <f aca="false">(D65*$D$20)*DAY(EOMONTH(D$25,0))*1440/$E$20*$B$12</f>
        <v>63303.234048</v>
      </c>
      <c r="E67" s="21" t="n">
        <f aca="false">(E65*$D$20)*DAY(EOMONTH(E$25,0))*1440/$E$20*$B$12</f>
        <v>87928.89790464</v>
      </c>
      <c r="F67" s="21" t="n">
        <f aca="false">(F65*$D$20)*DAY(EOMONTH(F$25,0))*1440/$E$20*$B$12</f>
        <v>101417.454015898</v>
      </c>
      <c r="G67" s="21" t="n">
        <f aca="false">(G65*$D$20)*DAY(EOMONTH(G$25,0))*1440/$E$20*$B$12</f>
        <v>136458.978606683</v>
      </c>
      <c r="H67" s="21" t="n">
        <f aca="false">(H65*$D$20)*DAY(EOMONTH(H$25,0))*1440/$E$20*$B$12</f>
        <v>155364.999356415</v>
      </c>
      <c r="I67" s="21" t="n">
        <f aca="false">(I65*$D$20)*DAY(EOMONTH(I$25,0))*1440/$E$20*$B$12</f>
        <v>184624.596073799</v>
      </c>
      <c r="J67" s="21" t="n">
        <f aca="false">(J65*$D$20)*DAY(EOMONTH(J$25,0))*1440/$E$20*$B$12</f>
        <v>202050.626734385</v>
      </c>
      <c r="K67" s="21" t="n">
        <f aca="false">(K65*$D$20)*DAY(EOMONTH(K$25,0))*1440/$E$20*$B$12</f>
        <v>233109.664232487</v>
      </c>
      <c r="L67" s="21" t="n">
        <f aca="false">(L65*$D$20)*DAY(EOMONTH(L$25,0))*1440/$E$20*$B$12</f>
        <v>257677.950273993</v>
      </c>
      <c r="M67" s="21" t="n">
        <f aca="false">(M65*$D$20)*DAY(EOMONTH(M$25,0))*1440/$E$20*$B$12</f>
        <v>273455.568793048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0.3456</v>
      </c>
      <c r="C68" s="22" t="n">
        <f aca="false">(C65*$D$20)*Inputs!$B$8*$B$13*Inputs!$B$9*$F$20</f>
        <v>1.029888</v>
      </c>
      <c r="D68" s="22" t="n">
        <f aca="false">(D65*$D$20)*Inputs!$B$8*$B$13*Inputs!$B$9*$F$20</f>
        <v>1.70169984</v>
      </c>
      <c r="E68" s="22" t="n">
        <f aca="false">(E65*$D$20)*Inputs!$B$8*$B$13*Inputs!$B$9*$F$20</f>
        <v>2.3636800512</v>
      </c>
      <c r="F68" s="22" t="n">
        <f aca="false">(F65*$D$20)*Inputs!$B$8*$B$13*Inputs!$B$9*$F$20</f>
        <v>3.018376607616</v>
      </c>
      <c r="G68" s="22" t="n">
        <f aca="false">(G65*$D$20)*Inputs!$B$8*$B$13*Inputs!$B$9*$F$20</f>
        <v>3.66825211308288</v>
      </c>
      <c r="H68" s="22" t="n">
        <f aca="false">(H65*$D$20)*Inputs!$B$8*$B$13*Inputs!$B$9*$F$20</f>
        <v>4.31569442656708</v>
      </c>
      <c r="I68" s="22" t="n">
        <f aca="false">(I65*$D$20)*Inputs!$B$8*$B$13*Inputs!$B$9*$F$20</f>
        <v>4.96302677617738</v>
      </c>
      <c r="J68" s="22" t="n">
        <f aca="false">(J65*$D$20)*Inputs!$B$8*$B$13*Inputs!$B$9*$F$20</f>
        <v>5.61251740928847</v>
      </c>
      <c r="K68" s="22" t="n">
        <f aca="false">(K65*$D$20)*Inputs!$B$8*$B$13*Inputs!$B$9*$F$20</f>
        <v>6.26638882345395</v>
      </c>
      <c r="L68" s="22" t="n">
        <f aca="false">(L65*$D$20)*Inputs!$B$8*$B$13*Inputs!$B$9*$F$20</f>
        <v>6.92682662026863</v>
      </c>
      <c r="M68" s="22" t="n">
        <f aca="false">(M65*$D$20)*Inputs!$B$8*$B$13*Inputs!$B$9*$F$20</f>
        <v>7.59598802202911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2.419657728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6.97168287744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11.8571286868992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16.4641066013123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19.1731984239802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25.5432808213442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29.1688299107348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34.5544647939913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37.9298121088367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43.625601136124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48.2221815822117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51.3299384668602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3.2</v>
      </c>
      <c r="C73" s="25" t="n">
        <f aca="false">C44+C54+C64</f>
        <v>6.336</v>
      </c>
      <c r="D73" s="25" t="n">
        <f aca="false">D44+D54+D64</f>
        <v>9.42048</v>
      </c>
      <c r="E73" s="25" t="n">
        <f aca="false">E44+E54+E64</f>
        <v>12.4654464</v>
      </c>
      <c r="F73" s="25" t="n">
        <f aca="false">F44+F54+F64</f>
        <v>15.482485152</v>
      </c>
      <c r="G73" s="25" t="n">
        <f aca="false">G44+G54+G64</f>
        <v>18.48281219136</v>
      </c>
      <c r="H73" s="25" t="n">
        <f aca="false">H44+H54+H64</f>
        <v>21.4773213879648</v>
      </c>
      <c r="I73" s="25" t="n">
        <f aca="false">I44+I54+I64</f>
        <v>24.4766302433073</v>
      </c>
      <c r="J73" s="25" t="n">
        <f aca="false">J44+J54+J64</f>
        <v>27.4911235464008</v>
      </c>
      <c r="K73" s="25" t="n">
        <f aca="false">K44+K54+K64</f>
        <v>30.530995189284</v>
      </c>
      <c r="L73" s="25" t="n">
        <f aca="false">L44+L54+L64</f>
        <v>33.6062883317219</v>
      </c>
      <c r="M73" s="25" t="n">
        <f aca="false">M44+M54+M64</f>
        <v>36.7269340944736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1.6</v>
      </c>
      <c r="C74" s="26" t="n">
        <f aca="false">C45+C55+C65</f>
        <v>4.768</v>
      </c>
      <c r="D74" s="26" t="n">
        <f aca="false">D45+D55+D65</f>
        <v>7.87824</v>
      </c>
      <c r="E74" s="26" t="n">
        <f aca="false">E45+E55+E65</f>
        <v>10.9429632</v>
      </c>
      <c r="F74" s="26" t="n">
        <f aca="false">F45+F55+F65</f>
        <v>13.973965776</v>
      </c>
      <c r="G74" s="26" t="n">
        <f aca="false">G45+G55+G65</f>
        <v>16.98264867168</v>
      </c>
      <c r="H74" s="26" t="n">
        <f aca="false">H45+H55+H65</f>
        <v>19.9800667896624</v>
      </c>
      <c r="I74" s="26" t="n">
        <f aca="false">I45+I55+I65</f>
        <v>22.976975815636</v>
      </c>
      <c r="J74" s="26" t="n">
        <f aca="false">J45+J55+J65</f>
        <v>25.983876894854</v>
      </c>
      <c r="K74" s="26" t="n">
        <f aca="false">K45+K55+K65</f>
        <v>29.0110593678424</v>
      </c>
      <c r="L74" s="26" t="n">
        <f aca="false">L45+L55+L65</f>
        <v>32.0686417605029</v>
      </c>
      <c r="M74" s="26" t="n">
        <f aca="false">M45+M55+M65</f>
        <v>35.1666112130977</v>
      </c>
    </row>
    <row r="75" customFormat="false" ht="15" hidden="false" customHeight="false" outlineLevel="0" collapsed="false">
      <c r="A75" s="3" t="s">
        <v>149</v>
      </c>
      <c r="B75" s="27" t="n">
        <f aca="false">B34</f>
        <v>76.8</v>
      </c>
      <c r="C75" s="27" t="n">
        <f aca="false">C34</f>
        <v>142.08</v>
      </c>
      <c r="D75" s="27" t="n">
        <f aca="false">D34</f>
        <v>198.336</v>
      </c>
      <c r="E75" s="27" t="n">
        <f aca="false">E34</f>
        <v>247.5744</v>
      </c>
      <c r="F75" s="27" t="n">
        <f aca="false">F34</f>
        <v>291.4104</v>
      </c>
      <c r="G75" s="27" t="n">
        <f aca="false">G34</f>
        <v>331.146744</v>
      </c>
      <c r="H75" s="27" t="n">
        <f aca="false">H34</f>
        <v>367.8367404</v>
      </c>
      <c r="I75" s="27" t="n">
        <f aca="false">I34</f>
        <v>402.33470478</v>
      </c>
      <c r="J75" s="27" t="n">
        <f aca="false">J34</f>
        <v>435.336341907</v>
      </c>
      <c r="K75" s="27" t="n">
        <f aca="false">K34</f>
        <v>467.41108051275</v>
      </c>
      <c r="L75" s="27" t="n">
        <f aca="false">L34</f>
        <v>499.027971746708</v>
      </c>
      <c r="M75" s="27" t="n">
        <f aca="false">M34</f>
        <v>530.576440100699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51.52</v>
      </c>
      <c r="C76" s="28" t="n">
        <f aca="false">C44*$B$18+C54*$B$19+C64*$B$20</f>
        <v>102.0096</v>
      </c>
      <c r="D76" s="28" t="n">
        <f aca="false">D44*$B$18+D54*$B$19+D64*$B$20</f>
        <v>151.669728</v>
      </c>
      <c r="E76" s="28" t="n">
        <f aca="false">E44*$B$18+E54*$B$19+E64*$B$20</f>
        <v>200.69368704</v>
      </c>
      <c r="F76" s="28" t="n">
        <f aca="false">F44*$B$18+F54*$B$19+F64*$B$20</f>
        <v>249.2680109472</v>
      </c>
      <c r="G76" s="28" t="n">
        <f aca="false">G44*$B$18+G54*$B$19+G64*$B$20</f>
        <v>297.573276280896</v>
      </c>
      <c r="H76" s="28" t="n">
        <f aca="false">H44*$B$18+H54*$B$19+H64*$B$20</f>
        <v>345.784874346233</v>
      </c>
      <c r="I76" s="28" t="n">
        <f aca="false">I44*$B$18+I54*$B$19+I64*$B$20</f>
        <v>394.073746917247</v>
      </c>
      <c r="J76" s="28" t="n">
        <f aca="false">J44*$B$18+J54*$B$19+J64*$B$20</f>
        <v>442.607089097052</v>
      </c>
      <c r="K76" s="28" t="n">
        <f aca="false">K44*$B$18+K54*$B$19+K64*$B$20</f>
        <v>491.549022547472</v>
      </c>
      <c r="L76" s="28" t="n">
        <f aca="false">L44*$B$18+L54*$B$19+L64*$B$20</f>
        <v>541.061242140723</v>
      </c>
      <c r="M76" s="28" t="n">
        <f aca="false">M44*$B$18+M54*$B$19+M64*$B$20</f>
        <v>591.303638921025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25.76</v>
      </c>
      <c r="C77" s="28" t="n">
        <f aca="false">C36+C46+C56+C66</f>
        <v>76.7648</v>
      </c>
      <c r="D77" s="28" t="n">
        <f aca="false">D36+D46+D56+D66</f>
        <v>126.839664</v>
      </c>
      <c r="E77" s="28" t="n">
        <f aca="false">E36+E46+E56+E66</f>
        <v>176.18170752</v>
      </c>
      <c r="F77" s="28" t="n">
        <f aca="false">F36+F46+F56+F66</f>
        <v>224.9808489936</v>
      </c>
      <c r="G77" s="28" t="n">
        <f aca="false">G36+G46+G56+G66</f>
        <v>273.420643614048</v>
      </c>
      <c r="H77" s="28" t="n">
        <f aca="false">H36+H46+H56+H66</f>
        <v>321.679075313565</v>
      </c>
      <c r="I77" s="28" t="n">
        <f aca="false">I36+I46+I56+I66</f>
        <v>369.92931063174</v>
      </c>
      <c r="J77" s="28" t="n">
        <f aca="false">J36+J46+J56+J66</f>
        <v>418.34041800715</v>
      </c>
      <c r="K77" s="28" t="n">
        <f aca="false">K36+K46+K56+K66</f>
        <v>467.078055822262</v>
      </c>
      <c r="L77" s="28" t="n">
        <f aca="false">L36+L46+L56+L66</f>
        <v>516.305132344097</v>
      </c>
      <c r="M77" s="28" t="n">
        <f aca="false">M36+M46+M56+M66</f>
        <v>566.182440530874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190702.08</v>
      </c>
      <c r="C78" s="26" t="n">
        <f aca="false">C37+C47+C57+C67</f>
        <v>535583.232</v>
      </c>
      <c r="D78" s="26" t="n">
        <f aca="false">D37+D47+D57+D67</f>
        <v>882841.565952</v>
      </c>
      <c r="E78" s="26" t="n">
        <f aca="false">E37+E47+E57+E67</f>
        <v>1186203.12385536</v>
      </c>
      <c r="F78" s="26" t="n">
        <f aca="false">F37+F47+F57+F67</f>
        <v>1327265.9922945</v>
      </c>
      <c r="G78" s="26" t="n">
        <f aca="false">G37+G47+G57+G67</f>
        <v>1737537.84754506</v>
      </c>
      <c r="H78" s="26" t="n">
        <f aca="false">H37+H47+H57+H67</f>
        <v>1930094.82482136</v>
      </c>
      <c r="I78" s="26" t="n">
        <f aca="false">I37+I47+I57+I67</f>
        <v>2243505.76486653</v>
      </c>
      <c r="J78" s="26" t="n">
        <f aca="false">J37+J47+J57+J67</f>
        <v>2407325.03281701</v>
      </c>
      <c r="K78" s="26" t="n">
        <f aca="false">K37+K47+K57+K67</f>
        <v>2728995.6130537</v>
      </c>
      <c r="L78" s="26" t="n">
        <f aca="false">L37+L47+L57+L67</f>
        <v>2969813.56972414</v>
      </c>
      <c r="M78" s="26" t="n">
        <f aca="false">M37+M47+M57+M67</f>
        <v>3108171.78977449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2.0544</v>
      </c>
      <c r="C79" s="27" t="n">
        <f aca="false">C38+C48+C58+C68</f>
        <v>6.122112</v>
      </c>
      <c r="D79" s="27" t="n">
        <f aca="false">D38+D48+D58+D68</f>
        <v>10.11566016</v>
      </c>
      <c r="E79" s="27" t="n">
        <f aca="false">E38+E48+E58+E68</f>
        <v>14.0507647488</v>
      </c>
      <c r="F79" s="27" t="n">
        <f aca="false">F38+F48+F58+F68</f>
        <v>17.942572056384</v>
      </c>
      <c r="G79" s="27" t="n">
        <f aca="false">G38+G48+G58+G68</f>
        <v>21.8057208944371</v>
      </c>
      <c r="H79" s="27" t="n">
        <f aca="false">H38+H48+H58+H68</f>
        <v>25.6544057579265</v>
      </c>
      <c r="I79" s="27" t="n">
        <f aca="false">I38+I48+I58+I68</f>
        <v>29.5024369472767</v>
      </c>
      <c r="J79" s="27" t="n">
        <f aca="false">J38+J48+J58+J68</f>
        <v>33.3632979329926</v>
      </c>
      <c r="K79" s="27" t="n">
        <f aca="false">K38+K48+K58+K68</f>
        <v>37.2502002283096</v>
      </c>
      <c r="L79" s="27" t="n">
        <f aca="false">L38+L48+L58+L68</f>
        <v>41.1761360204858</v>
      </c>
      <c r="M79" s="27" t="n">
        <f aca="false">M38+M48+M58+M68</f>
        <v>45.1539287976175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35.274934272</v>
      </c>
      <c r="C80" s="29" t="n">
        <f aca="false">C39+C49+C59+C69</f>
        <v>98.58480224256</v>
      </c>
      <c r="D80" s="29" t="n">
        <f aca="false">D39+D49+D59+D69</f>
        <v>162.190024554701</v>
      </c>
      <c r="E80" s="29" t="n">
        <f aca="false">E39+E49+E59+E69</f>
        <v>218.247615868576</v>
      </c>
      <c r="F80" s="29" t="n">
        <f aca="false">F39+F49+F59+F69</f>
        <v>246.650979603128</v>
      </c>
      <c r="G80" s="29" t="n">
        <f aca="false">G39+G49+G59+G69</f>
        <v>320.776611614309</v>
      </c>
      <c r="H80" s="29" t="n">
        <f aca="false">H39+H49+H59+H69</f>
        <v>357.86637579576</v>
      </c>
      <c r="I80" s="29" t="n">
        <f aca="false">I39+I49+I59+I69</f>
        <v>415.494850884451</v>
      </c>
      <c r="J80" s="29" t="n">
        <f aca="false">J39+J49+J59+J69</f>
        <v>447.703299846785</v>
      </c>
      <c r="K80" s="29" t="n">
        <f aca="false">K39+K49+K59+K69</f>
        <v>506.773358110238</v>
      </c>
      <c r="L80" s="29" t="n">
        <f aca="false">L39+L49+L59+L69</f>
        <v>552.141131236042</v>
      </c>
      <c r="M80" s="29" t="n">
        <f aca="false">M39+M49+M59+M69</f>
        <v>580.148752215127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0</v>
      </c>
      <c r="E82" s="29" t="n">
        <f aca="false">MAX(0,ROUNDUP((E35*$D$17+E45*$D$18+E55*$D$19+E65*$D$20)/Inputs!$B$40,0)-1)*Inputs!$B$41</f>
        <v>0</v>
      </c>
      <c r="F82" s="29" t="n">
        <f aca="false">MAX(0,ROUNDUP((F35*$D$17+F45*$D$18+F55*$D$19+F65*$D$20)/Inputs!$B$40,0)-1)*Inputs!$B$41</f>
        <v>0</v>
      </c>
      <c r="G82" s="29" t="n">
        <f aca="false">MAX(0,ROUNDUP((G35*$D$17+G45*$D$18+G55*$D$19+G65*$D$20)/Inputs!$B$40,0)-1)*Inputs!$B$41</f>
        <v>0</v>
      </c>
      <c r="H82" s="29" t="n">
        <f aca="false">MAX(0,ROUNDUP((H35*$D$17+H45*$D$18+H55*$D$19+H65*$D$20)/Inputs!$B$40,0)-1)*Inputs!$B$41</f>
        <v>0</v>
      </c>
      <c r="I82" s="29" t="n">
        <f aca="false">MAX(0,ROUNDUP((I35*$D$17+I45*$D$18+I55*$D$19+I65*$D$20)/Inputs!$B$40,0)-1)*Inputs!$B$41</f>
        <v>100</v>
      </c>
      <c r="J82" s="29" t="n">
        <f aca="false">MAX(0,ROUNDUP((J35*$D$17+J45*$D$18+J55*$D$19+J65*$D$20)/Inputs!$B$40,0)-1)*Inputs!$B$41</f>
        <v>100</v>
      </c>
      <c r="K82" s="29" t="n">
        <f aca="false">MAX(0,ROUNDUP((K35*$D$17+K45*$D$18+K55*$D$19+K65*$D$20)/Inputs!$B$40,0)-1)*Inputs!$B$41</f>
        <v>100</v>
      </c>
      <c r="L82" s="29" t="n">
        <f aca="false">MAX(0,ROUNDUP((L35*$D$17+L45*$D$18+L55*$D$19+L65*$D$20)/Inputs!$B$40,0)-1)*Inputs!$B$41</f>
        <v>100</v>
      </c>
      <c r="M82" s="29" t="n">
        <f aca="false">MAX(0,ROUNDUP((M35*$D$17+M45*$D$18+M55*$D$19+M65*$D$20)/Inputs!$B$40,0)-1)*Inputs!$B$41</f>
        <v>100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135.274934272</v>
      </c>
      <c r="C83" s="28" t="n">
        <f aca="false">C80+C81+C82</f>
        <v>198.58480224256</v>
      </c>
      <c r="D83" s="28" t="n">
        <f aca="false">D80+D81+D82</f>
        <v>262.190024554701</v>
      </c>
      <c r="E83" s="28" t="n">
        <f aca="false">E80+E81+E82</f>
        <v>318.247615868576</v>
      </c>
      <c r="F83" s="28" t="n">
        <f aca="false">F80+F81+F82</f>
        <v>346.650979603128</v>
      </c>
      <c r="G83" s="28" t="n">
        <f aca="false">G80+G81+G82</f>
        <v>420.776611614309</v>
      </c>
      <c r="H83" s="28" t="n">
        <f aca="false">H80+H81+H82</f>
        <v>457.86637579576</v>
      </c>
      <c r="I83" s="28" t="n">
        <f aca="false">I80+I81+I82</f>
        <v>615.494850884451</v>
      </c>
      <c r="J83" s="28" t="n">
        <f aca="false">J80+J81+J82</f>
        <v>647.703299846786</v>
      </c>
      <c r="K83" s="28" t="n">
        <f aca="false">K80+K81+K82</f>
        <v>706.773358110238</v>
      </c>
      <c r="L83" s="28" t="n">
        <f aca="false">L80+L81+L82</f>
        <v>752.141131236042</v>
      </c>
      <c r="M83" s="28" t="n">
        <f aca="false">M80+M81+M82</f>
        <v>780.148752215127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-109.514934272</v>
      </c>
      <c r="C84" s="28" t="n">
        <f aca="false">C77-C83</f>
        <v>-121.82000224256</v>
      </c>
      <c r="D84" s="28" t="n">
        <f aca="false">D77-D83</f>
        <v>-135.350360554701</v>
      </c>
      <c r="E84" s="28" t="n">
        <f aca="false">E77-E83</f>
        <v>-142.065908348576</v>
      </c>
      <c r="F84" s="28" t="n">
        <f aca="false">F77-F83</f>
        <v>-121.670130609528</v>
      </c>
      <c r="G84" s="28" t="n">
        <f aca="false">G77-G83</f>
        <v>-147.355968000261</v>
      </c>
      <c r="H84" s="28" t="n">
        <f aca="false">H77-H83</f>
        <v>-136.187300482196</v>
      </c>
      <c r="I84" s="28" t="n">
        <f aca="false">I77-I83</f>
        <v>-245.565540252711</v>
      </c>
      <c r="J84" s="28" t="n">
        <f aca="false">J77-J83</f>
        <v>-229.362881839636</v>
      </c>
      <c r="K84" s="28" t="n">
        <f aca="false">K77-K83</f>
        <v>-239.695302287976</v>
      </c>
      <c r="L84" s="28" t="n">
        <f aca="false">L77-L83</f>
        <v>-235.835998891945</v>
      </c>
      <c r="M84" s="28" t="n">
        <f aca="false">M77-M83</f>
        <v>-213.966311684253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-4.25135614409938</v>
      </c>
      <c r="C85" s="31" t="n">
        <f aca="false">IFERROR(C84/C77,0)</f>
        <v>-1.58692528662304</v>
      </c>
      <c r="D85" s="31" t="n">
        <f aca="false">IFERROR(D84/D77,0)</f>
        <v>-1.06709806921832</v>
      </c>
      <c r="E85" s="31" t="n">
        <f aca="false">IFERROR(E84/E77,0)</f>
        <v>-0.806360151393405</v>
      </c>
      <c r="F85" s="31" t="n">
        <f aca="false">IFERROR(F84/F77,0)</f>
        <v>-0.540802166734595</v>
      </c>
      <c r="G85" s="31" t="n">
        <f aca="false">IFERROR(G84/G77,0)</f>
        <v>-0.538935049133538</v>
      </c>
      <c r="H85" s="31" t="n">
        <f aca="false">IFERROR(H84/H77,0)</f>
        <v>-0.423363877023843</v>
      </c>
      <c r="I85" s="31" t="n">
        <f aca="false">IFERROR(I84/I77,0)</f>
        <v>-0.663817473217655</v>
      </c>
      <c r="J85" s="31" t="n">
        <f aca="false">IFERROR(J84/J77,0)</f>
        <v>-0.548268520006393</v>
      </c>
      <c r="K85" s="31" t="n">
        <f aca="false">IFERROR(K84/K77,0)</f>
        <v>-0.513180397366361</v>
      </c>
      <c r="L85" s="31" t="n">
        <f aca="false">IFERROR(L84/L77,0)</f>
        <v>-0.456776398524679</v>
      </c>
      <c r="M85" s="31" t="n">
        <f aca="false">IFERROR(M84/M77,0)</f>
        <v>-0.377910539725729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192</v>
      </c>
      <c r="C86" s="29" t="n">
        <f aca="false">C27*$B$9</f>
        <v>201.6</v>
      </c>
      <c r="D86" s="29" t="n">
        <f aca="false">D27*$B$9</f>
        <v>211.68</v>
      </c>
      <c r="E86" s="29" t="n">
        <f aca="false">E27*$B$9</f>
        <v>222.264</v>
      </c>
      <c r="F86" s="29" t="n">
        <f aca="false">F27*$B$9</f>
        <v>233.3772</v>
      </c>
      <c r="G86" s="29" t="n">
        <f aca="false">G27*$B$9</f>
        <v>245.04606</v>
      </c>
      <c r="H86" s="29" t="n">
        <f aca="false">H27*$B$9</f>
        <v>257.298363</v>
      </c>
      <c r="I86" s="29" t="n">
        <f aca="false">I27*$B$9</f>
        <v>270.16328115</v>
      </c>
      <c r="J86" s="29" t="n">
        <f aca="false">J27*$B$9</f>
        <v>283.6714452075</v>
      </c>
      <c r="K86" s="29" t="n">
        <f aca="false">K27*$B$9</f>
        <v>297.855017467875</v>
      </c>
      <c r="L86" s="29" t="n">
        <f aca="false">L27*$B$9</f>
        <v>312.747768341269</v>
      </c>
      <c r="M86" s="29" t="n">
        <f aca="false">M27*$B$9</f>
        <v>328.385156758332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342</v>
      </c>
      <c r="C91" s="28" t="n">
        <f aca="false">C86+C87+C88+C89+C90</f>
        <v>351.6</v>
      </c>
      <c r="D91" s="28" t="n">
        <f aca="false">D86+D87+D88+D89+D90</f>
        <v>361.68</v>
      </c>
      <c r="E91" s="28" t="n">
        <f aca="false">E86+E87+E88+E89+E90</f>
        <v>1872.264</v>
      </c>
      <c r="F91" s="28" t="n">
        <f aca="false">F86+F87+F88+F89+F90</f>
        <v>1883.3772</v>
      </c>
      <c r="G91" s="28" t="n">
        <f aca="false">G86+G87+G88+G89+G90</f>
        <v>1895.04606</v>
      </c>
      <c r="H91" s="28" t="n">
        <f aca="false">H86+H87+H88+H89+H90</f>
        <v>1907.298363</v>
      </c>
      <c r="I91" s="28" t="n">
        <f aca="false">I86+I87+I88+I89+I90</f>
        <v>1920.16328115</v>
      </c>
      <c r="J91" s="28" t="n">
        <f aca="false">J86+J87+J88+J89+J90</f>
        <v>4933.6714452075</v>
      </c>
      <c r="K91" s="28" t="n">
        <f aca="false">K86+K87+K88+K89+K90</f>
        <v>4947.85501746788</v>
      </c>
      <c r="L91" s="28" t="n">
        <f aca="false">L86+L87+L88+L89+L90</f>
        <v>4962.74776834127</v>
      </c>
      <c r="M91" s="28" t="n">
        <f aca="false">M86+M87+M88+M89+M90</f>
        <v>4978.38515675833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-451.514934272</v>
      </c>
      <c r="C92" s="28" t="n">
        <f aca="false">C84-C91</f>
        <v>-473.42000224256</v>
      </c>
      <c r="D92" s="28" t="n">
        <f aca="false">D84-D91</f>
        <v>-497.030360554701</v>
      </c>
      <c r="E92" s="28" t="n">
        <f aca="false">E84-E91</f>
        <v>-2014.32990834858</v>
      </c>
      <c r="F92" s="28" t="n">
        <f aca="false">F84-F91</f>
        <v>-2005.04733060953</v>
      </c>
      <c r="G92" s="28" t="n">
        <f aca="false">G84-G91</f>
        <v>-2042.40202800026</v>
      </c>
      <c r="H92" s="28" t="n">
        <f aca="false">H84-H91</f>
        <v>-2043.4856634822</v>
      </c>
      <c r="I92" s="28" t="n">
        <f aca="false">I84-I91</f>
        <v>-2165.72882140271</v>
      </c>
      <c r="J92" s="28" t="n">
        <f aca="false">J84-J91</f>
        <v>-5163.03432704714</v>
      </c>
      <c r="K92" s="28" t="n">
        <f aca="false">K84-K91</f>
        <v>-5187.55031975585</v>
      </c>
      <c r="L92" s="28" t="n">
        <f aca="false">L84-L91</f>
        <v>-5198.58376723321</v>
      </c>
      <c r="M92" s="28" t="n">
        <f aca="false">M84-M91</f>
        <v>-5192.35146844259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-451.514934272</v>
      </c>
      <c r="C93" s="30" t="n">
        <f aca="false">B93+C92</f>
        <v>-924.93493651456</v>
      </c>
      <c r="D93" s="30" t="n">
        <f aca="false">C93+D92</f>
        <v>-1421.96529706926</v>
      </c>
      <c r="E93" s="30" t="n">
        <f aca="false">D93+E92</f>
        <v>-3436.29520541784</v>
      </c>
      <c r="F93" s="30" t="n">
        <f aca="false">E93+F92</f>
        <v>-5441.34253602737</v>
      </c>
      <c r="G93" s="30" t="n">
        <f aca="false">F93+G92</f>
        <v>-7483.74456402763</v>
      </c>
      <c r="H93" s="30" t="n">
        <f aca="false">G93+H92</f>
        <v>-9527.23022750982</v>
      </c>
      <c r="I93" s="30" t="n">
        <f aca="false">H93+I92</f>
        <v>-11692.9590489125</v>
      </c>
      <c r="J93" s="30" t="n">
        <f aca="false">I93+J92</f>
        <v>-16855.9933759597</v>
      </c>
      <c r="K93" s="30" t="n">
        <f aca="false">J93+K92</f>
        <v>-22043.5436957155</v>
      </c>
      <c r="L93" s="30" t="n">
        <f aca="false">K93+L92</f>
        <v>-27242.1274629487</v>
      </c>
      <c r="M93" s="30" t="n">
        <f aca="false">L93+M92</f>
        <v>-32434.4789313913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14548.485065728</v>
      </c>
      <c r="C94" s="28" t="n">
        <f aca="false">Inputs!$B$49+C93</f>
        <v>14075.0650634854</v>
      </c>
      <c r="D94" s="28" t="n">
        <f aca="false">Inputs!$B$49+D93</f>
        <v>13578.0347029307</v>
      </c>
      <c r="E94" s="28" t="n">
        <f aca="false">Inputs!$B$49+E93</f>
        <v>11563.7047945822</v>
      </c>
      <c r="F94" s="28" t="n">
        <f aca="false">Inputs!$B$49+F93</f>
        <v>9558.65746397264</v>
      </c>
      <c r="G94" s="28" t="n">
        <f aca="false">Inputs!$B$49+G93</f>
        <v>7516.25543597237</v>
      </c>
      <c r="H94" s="28" t="n">
        <f aca="false">Inputs!$B$49+H93</f>
        <v>5472.76977249018</v>
      </c>
      <c r="I94" s="28" t="n">
        <f aca="false">Inputs!$B$49+I93</f>
        <v>3307.04095108747</v>
      </c>
      <c r="J94" s="28" t="n">
        <f aca="false">Inputs!$B$49+J93</f>
        <v>-1855.99337595967</v>
      </c>
      <c r="K94" s="28" t="n">
        <f aca="false">Inputs!$B$49+K93</f>
        <v>-7043.54369571552</v>
      </c>
      <c r="L94" s="28" t="n">
        <f aca="false">Inputs!$B$49+L93</f>
        <v>-12242.1274629487</v>
      </c>
      <c r="M94" s="28" t="n">
        <f aca="false">Inputs!$B$49+M93</f>
        <v>-17434.4789313913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4548.485065728</v>
      </c>
      <c r="C95" s="30" t="n">
        <f aca="false">Inputs!$B$54+C93</f>
        <v>4075.06506348544</v>
      </c>
      <c r="D95" s="30" t="n">
        <f aca="false">Inputs!$B$54+D93</f>
        <v>3578.03470293074</v>
      </c>
      <c r="E95" s="30" t="n">
        <f aca="false">Inputs!$B$54+E93</f>
        <v>1563.70479458216</v>
      </c>
      <c r="F95" s="30" t="n">
        <f aca="false">Inputs!$B$54+F93</f>
        <v>-441.342536027365</v>
      </c>
      <c r="G95" s="30" t="n">
        <f aca="false">Inputs!$B$54+G93</f>
        <v>-2483.74456402763</v>
      </c>
      <c r="H95" s="30" t="n">
        <f aca="false">Inputs!$B$54+H93</f>
        <v>-4527.23022750982</v>
      </c>
      <c r="I95" s="30" t="n">
        <f aca="false">Inputs!$B$54+I93</f>
        <v>-6692.95904891253</v>
      </c>
      <c r="J95" s="30" t="n">
        <f aca="false">Inputs!$B$54+J93</f>
        <v>-11855.9933759597</v>
      </c>
      <c r="K95" s="30" t="n">
        <f aca="false">Inputs!$B$54+K93</f>
        <v>-17043.5436957155</v>
      </c>
      <c r="L95" s="30" t="n">
        <f aca="false">Inputs!$B$54+L93</f>
        <v>-22242.1274629487</v>
      </c>
      <c r="M95" s="30" t="n">
        <f aca="false">Inputs!$B$54+M93</f>
        <v>-27434.4789313913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14548.485065728</v>
      </c>
      <c r="C96" s="29" t="n">
        <f aca="false">Inputs!$B$55+C93</f>
        <v>14075.0650634854</v>
      </c>
      <c r="D96" s="29" t="n">
        <f aca="false">Inputs!$B$55+D93</f>
        <v>13578.0347029307</v>
      </c>
      <c r="E96" s="29" t="n">
        <f aca="false">Inputs!$B$55+E93</f>
        <v>11563.7047945822</v>
      </c>
      <c r="F96" s="29" t="n">
        <f aca="false">Inputs!$B$55+F93</f>
        <v>9558.65746397264</v>
      </c>
      <c r="G96" s="29" t="n">
        <f aca="false">Inputs!$B$55+G93</f>
        <v>7516.25543597237</v>
      </c>
      <c r="H96" s="29" t="n">
        <f aca="false">Inputs!$B$55+H93</f>
        <v>5472.76977249018</v>
      </c>
      <c r="I96" s="29" t="n">
        <f aca="false">Inputs!$B$55+I93</f>
        <v>3307.04095108747</v>
      </c>
      <c r="J96" s="29" t="n">
        <f aca="false">Inputs!$B$55+J93</f>
        <v>-1855.99337595967</v>
      </c>
      <c r="K96" s="29" t="n">
        <f aca="false">Inputs!$B$55+K93</f>
        <v>-7043.54369571552</v>
      </c>
      <c r="L96" s="29" t="n">
        <f aca="false">Inputs!$B$55+L93</f>
        <v>-12242.1274629487</v>
      </c>
      <c r="M96" s="29" t="n">
        <f aca="false">Inputs!$B$55+M93</f>
        <v>-17434.4789313913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29548.485065728</v>
      </c>
      <c r="C97" s="30" t="n">
        <f aca="false">Inputs!$B$56+C93</f>
        <v>29075.0650634854</v>
      </c>
      <c r="D97" s="30" t="n">
        <f aca="false">Inputs!$B$56+D93</f>
        <v>28578.0347029307</v>
      </c>
      <c r="E97" s="30" t="n">
        <f aca="false">Inputs!$B$56+E93</f>
        <v>26563.7047945822</v>
      </c>
      <c r="F97" s="30" t="n">
        <f aca="false">Inputs!$B$56+F93</f>
        <v>24558.6574639726</v>
      </c>
      <c r="G97" s="30" t="n">
        <f aca="false">Inputs!$B$56+G93</f>
        <v>22516.2554359724</v>
      </c>
      <c r="H97" s="30" t="n">
        <f aca="false">Inputs!$B$56+H93</f>
        <v>20472.7697724902</v>
      </c>
      <c r="I97" s="30" t="n">
        <f aca="false">Inputs!$B$56+I93</f>
        <v>18307.0409510875</v>
      </c>
      <c r="J97" s="30" t="n">
        <f aca="false">Inputs!$B$56+J93</f>
        <v>13144.0066240403</v>
      </c>
      <c r="K97" s="30" t="n">
        <f aca="false">Inputs!$B$56+K93</f>
        <v>7956.45630428448</v>
      </c>
      <c r="L97" s="30" t="n">
        <f aca="false">Inputs!$B$56+L93</f>
        <v>2757.87253705127</v>
      </c>
      <c r="M97" s="30" t="n">
        <f aca="false">Inputs!$B$56+M93</f>
        <v>-2434.47893139132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16.1</v>
      </c>
      <c r="C98" s="29" t="n">
        <f aca="false">IFERROR(C77/C74,0)</f>
        <v>16.1</v>
      </c>
      <c r="D98" s="29" t="n">
        <f aca="false">IFERROR(D77/D74,0)</f>
        <v>16.1</v>
      </c>
      <c r="E98" s="29" t="n">
        <f aca="false">IFERROR(E77/E74,0)</f>
        <v>16.1</v>
      </c>
      <c r="F98" s="29" t="n">
        <f aca="false">IFERROR(F77/F74,0)</f>
        <v>16.1</v>
      </c>
      <c r="G98" s="29" t="n">
        <f aca="false">IFERROR(G77/G74,0)</f>
        <v>16.1</v>
      </c>
      <c r="H98" s="29" t="n">
        <f aca="false">IFERROR(H77/H74,0)</f>
        <v>16.1</v>
      </c>
      <c r="I98" s="29" t="n">
        <f aca="false">IFERROR(I77/I74,0)</f>
        <v>16.1</v>
      </c>
      <c r="J98" s="29" t="n">
        <f aca="false">IFERROR(J77/J74,0)</f>
        <v>16.1</v>
      </c>
      <c r="K98" s="29" t="n">
        <f aca="false">IFERROR(K77/K74,0)</f>
        <v>16.1</v>
      </c>
      <c r="L98" s="29" t="n">
        <f aca="false">IFERROR(L77/L74,0)</f>
        <v>16.1</v>
      </c>
      <c r="M98" s="29" t="n">
        <f aca="false">IFERROR(M77/M74,0)</f>
        <v>16.1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0.644</v>
      </c>
      <c r="C99" s="30" t="n">
        <f aca="false">IFERROR(C77/(C35+C45+C55+C65),0)</f>
        <v>0.672149061361726</v>
      </c>
      <c r="D99" s="30" t="n">
        <f aca="false">IFERROR(D77/(D35+D45+D55+D65),0)</f>
        <v>0.71223730704854</v>
      </c>
      <c r="E99" s="30" t="n">
        <f aca="false">IFERROR(E77/(E35+E45+E55+E65),0)</f>
        <v>0.753241090522596</v>
      </c>
      <c r="F99" s="30" t="n">
        <f aca="false">IFERROR(F77/(F35+F45+F55+F65),0)</f>
        <v>0.793677402882371</v>
      </c>
      <c r="G99" s="30" t="n">
        <f aca="false">IFERROR(G77/(G35+G45+G55+G65),0)</f>
        <v>0.832936169111238</v>
      </c>
      <c r="H99" s="30" t="n">
        <f aca="false">IFERROR(H77/(H35+H45+H55+H65),0)</f>
        <v>0.870645790793107</v>
      </c>
      <c r="I99" s="30" t="n">
        <f aca="false">IFERROR(I77/(I35+I45+I55+I65),0)</f>
        <v>0.906550174953778</v>
      </c>
      <c r="J99" s="30" t="n">
        <f aca="false">IFERROR(J77/(J35+J45+J55+J65),0)</f>
        <v>0.940472510378334</v>
      </c>
      <c r="K99" s="30" t="n">
        <f aca="false">IFERROR(K77/(K35+K45+K55+K65),0)</f>
        <v>0.972299882156021</v>
      </c>
      <c r="L99" s="30" t="n">
        <f aca="false">IFERROR(L77/(L35+L45+L55+L65),0)</f>
        <v>1.00197358394242</v>
      </c>
      <c r="M99" s="30" t="n">
        <f aca="false">IFERROR(M77/(M35+M45+M55+M65),0)</f>
        <v>1.02948098671936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84.54683392</v>
      </c>
      <c r="C100" s="29" t="n">
        <f aca="false">IFERROR(C83/C74,0)</f>
        <v>41.6494971146309</v>
      </c>
      <c r="D100" s="29" t="n">
        <f aca="false">IFERROR(D83/D74,0)</f>
        <v>33.280278914415</v>
      </c>
      <c r="E100" s="29" t="n">
        <f aca="false">IFERROR(E83/E74,0)</f>
        <v>29.0823984374338</v>
      </c>
      <c r="F100" s="29" t="n">
        <f aca="false">IFERROR(F83/F74,0)</f>
        <v>24.806914884427</v>
      </c>
      <c r="G100" s="29" t="n">
        <f aca="false">IFERROR(G83/G74,0)</f>
        <v>24.77685429105</v>
      </c>
      <c r="H100" s="29" t="n">
        <f aca="false">IFERROR(H83/H74,0)</f>
        <v>22.9161584200839</v>
      </c>
      <c r="I100" s="29" t="n">
        <f aca="false">IFERROR(I83/I74,0)</f>
        <v>26.7874613188042</v>
      </c>
      <c r="J100" s="29" t="n">
        <f aca="false">IFERROR(J83/J74,0)</f>
        <v>24.9271231721029</v>
      </c>
      <c r="K100" s="29" t="n">
        <f aca="false">IFERROR(K83/K74,0)</f>
        <v>24.3622043975984</v>
      </c>
      <c r="L100" s="29" t="n">
        <f aca="false">IFERROR(L83/L74,0)</f>
        <v>23.4541000162473</v>
      </c>
      <c r="M100" s="29" t="n">
        <f aca="false">IFERROR(M83/M74,0)</f>
        <v>22.1843596895842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-68.44683392</v>
      </c>
      <c r="C101" s="30" t="n">
        <f aca="false">C98-C100</f>
        <v>-25.5494971146309</v>
      </c>
      <c r="D101" s="30" t="n">
        <f aca="false">D98-D100</f>
        <v>-17.180278914415</v>
      </c>
      <c r="E101" s="30" t="n">
        <f aca="false">E98-E100</f>
        <v>-12.9823984374338</v>
      </c>
      <c r="F101" s="30" t="n">
        <f aca="false">F98-F100</f>
        <v>-8.70691488442699</v>
      </c>
      <c r="G101" s="30" t="n">
        <f aca="false">G98-G100</f>
        <v>-8.67685429104996</v>
      </c>
      <c r="H101" s="30" t="n">
        <f aca="false">H98-H100</f>
        <v>-6.81615842008388</v>
      </c>
      <c r="I101" s="30" t="n">
        <f aca="false">I98-I100</f>
        <v>-10.6874613188042</v>
      </c>
      <c r="J101" s="30" t="n">
        <f aca="false">J98-J100</f>
        <v>-8.82712317210293</v>
      </c>
      <c r="K101" s="30" t="n">
        <f aca="false">K98-K100</f>
        <v>-8.26220439759841</v>
      </c>
      <c r="L101" s="30" t="n">
        <f aca="false">L98-L100</f>
        <v>-7.35410001624734</v>
      </c>
      <c r="M101" s="30" t="n">
        <f aca="false">M98-M100</f>
        <v>-6.08435968958424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0</v>
      </c>
      <c r="F102" s="32" t="n">
        <f aca="false">IF(F101&gt;0,F101/$B$7,0)</f>
        <v>0</v>
      </c>
      <c r="G102" s="32" t="n">
        <f aca="false">IF(G101&gt;0,G101/$B$7,0)</f>
        <v>0</v>
      </c>
      <c r="H102" s="32" t="n">
        <f aca="false">IF(H101&gt;0,H101/$B$7,0)</f>
        <v>0</v>
      </c>
      <c r="I102" s="32" t="n">
        <f aca="false">IF(I101&gt;0,I101/$B$7,0)</f>
        <v>0</v>
      </c>
      <c r="J102" s="32" t="n">
        <f aca="false">IF(J101&gt;0,J101/$B$7,0)</f>
        <v>0</v>
      </c>
      <c r="K102" s="32" t="n">
        <f aca="false">IF(K101&gt;0,K101/$B$7,0)</f>
        <v>0</v>
      </c>
      <c r="L102" s="32" t="n">
        <f aca="false">IF(L101&gt;0,L101/$B$7,0)</f>
        <v>0</v>
      </c>
      <c r="M102" s="32" t="n">
        <f aca="false">IF(M101&gt;0,M101/$B$7,0)</f>
        <v>0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</v>
      </c>
      <c r="F103" s="33" t="n">
        <f aca="false">IF(F101&gt;0,F102/$B$9,0)</f>
        <v>0</v>
      </c>
      <c r="G103" s="33" t="n">
        <f aca="false">IF(G101&gt;0,G102/$B$9,0)</f>
        <v>0</v>
      </c>
      <c r="H103" s="33" t="n">
        <f aca="false">IF(H101&gt;0,H102/$B$9,0)</f>
        <v>0</v>
      </c>
      <c r="I103" s="33" t="n">
        <f aca="false">IF(I101&gt;0,I102/$B$9,0)</f>
        <v>0</v>
      </c>
      <c r="J103" s="33" t="n">
        <f aca="false">IF(J101&gt;0,J102/$B$9,0)</f>
        <v>0</v>
      </c>
      <c r="K103" s="33" t="n">
        <f aca="false">IF(K101&gt;0,K102/$B$9,0)</f>
        <v>0</v>
      </c>
      <c r="L103" s="33" t="n">
        <f aca="false">IF(L101&gt;0,L102/$B$9,0)</f>
        <v>0</v>
      </c>
      <c r="M103" s="33" t="n">
        <f aca="false">IF(M101&gt;0,M102/$B$9,0)</f>
        <v>0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0</v>
      </c>
      <c r="F104" s="32" t="n">
        <f aca="false">IF(F101&gt;0,$B$9/F101,0)</f>
        <v>0</v>
      </c>
      <c r="G104" s="32" t="n">
        <f aca="false">IF(G101&gt;0,$B$9/G101,0)</f>
        <v>0</v>
      </c>
      <c r="H104" s="32" t="n">
        <f aca="false">IF(H101&gt;0,$B$9/H101,0)</f>
        <v>0</v>
      </c>
      <c r="I104" s="32" t="n">
        <f aca="false">IF(I101&gt;0,$B$9/I101,0)</f>
        <v>0</v>
      </c>
      <c r="J104" s="32" t="n">
        <f aca="false">IF(J101&gt;0,$B$9/J101,0)</f>
        <v>0</v>
      </c>
      <c r="K104" s="32" t="n">
        <f aca="false">IF(K101&gt;0,$B$9/K101,0)</f>
        <v>0</v>
      </c>
      <c r="L104" s="32" t="n">
        <f aca="false">IF(L101&gt;0,$B$9/L101,0)</f>
        <v>0</v>
      </c>
      <c r="M104" s="32" t="n">
        <f aca="false">IF(M101&gt;0,$B$9/M101,0)</f>
        <v>0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7" t="n">
        <v>300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8" t="n">
        <v>0.15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17" t="n">
        <v>0.12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8" t="n">
        <v>0.025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17" t="n">
        <v>0.1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18" t="n">
        <v>30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17" t="n">
        <v>0.45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18" t="n">
        <v>0.4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17" t="n">
        <v>0.15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22" t="n">
        <f aca="false">$B$4</f>
        <v>300</v>
      </c>
      <c r="C26" s="22" t="n">
        <f aca="false">B26*(1+$B$5)</f>
        <v>345</v>
      </c>
      <c r="D26" s="22" t="n">
        <f aca="false">C26*(1+$B$5)</f>
        <v>396.75</v>
      </c>
      <c r="E26" s="22" t="n">
        <f aca="false">D26*(1+$B$5)</f>
        <v>456.2625</v>
      </c>
      <c r="F26" s="22" t="n">
        <f aca="false">E26*(1+$B$5)</f>
        <v>524.701875</v>
      </c>
      <c r="G26" s="22" t="n">
        <f aca="false">F26*(1+$B$5)</f>
        <v>603.40715625</v>
      </c>
      <c r="H26" s="22" t="n">
        <f aca="false">G26*(1+$B$5)</f>
        <v>693.9182296875</v>
      </c>
      <c r="I26" s="22" t="n">
        <f aca="false">H26*(1+$B$5)</f>
        <v>798.005964140625</v>
      </c>
      <c r="J26" s="22" t="n">
        <f aca="false">I26*(1+$B$5)</f>
        <v>917.706858761718</v>
      </c>
      <c r="K26" s="22" t="n">
        <f aca="false">J26*(1+$B$5)</f>
        <v>1055.36288757598</v>
      </c>
      <c r="L26" s="22" t="n">
        <f aca="false">K26*(1+$B$5)</f>
        <v>1213.66732071237</v>
      </c>
      <c r="M26" s="22" t="n">
        <f aca="false">L26*(1+$B$5)</f>
        <v>1395.71741881923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36</v>
      </c>
      <c r="C27" s="21" t="n">
        <f aca="false">C26*$B$6</f>
        <v>41.4</v>
      </c>
      <c r="D27" s="21" t="n">
        <f aca="false">D26*$B$6</f>
        <v>47.61</v>
      </c>
      <c r="E27" s="21" t="n">
        <f aca="false">E26*$B$6</f>
        <v>54.7515</v>
      </c>
      <c r="F27" s="21" t="n">
        <f aca="false">F26*$B$6</f>
        <v>62.964225</v>
      </c>
      <c r="G27" s="21" t="n">
        <f aca="false">G26*$B$6</f>
        <v>72.40885875</v>
      </c>
      <c r="H27" s="21" t="n">
        <f aca="false">H26*$B$6</f>
        <v>83.2701875625</v>
      </c>
      <c r="I27" s="21" t="n">
        <f aca="false">I26*$B$6</f>
        <v>95.760715696875</v>
      </c>
      <c r="J27" s="21" t="n">
        <f aca="false">J26*$B$6</f>
        <v>110.124823051406</v>
      </c>
      <c r="K27" s="21" t="n">
        <f aca="false">K26*$B$6</f>
        <v>126.643546509117</v>
      </c>
      <c r="L27" s="21" t="n">
        <f aca="false">L26*$B$6</f>
        <v>145.640078485485</v>
      </c>
      <c r="M27" s="21" t="n">
        <f aca="false">M26*$B$6</f>
        <v>167.486090258307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264</v>
      </c>
      <c r="C28" s="22" t="n">
        <f aca="false">C26-C27</f>
        <v>303.6</v>
      </c>
      <c r="D28" s="22" t="n">
        <f aca="false">D26-D27</f>
        <v>349.14</v>
      </c>
      <c r="E28" s="22" t="n">
        <f aca="false">E26-E27</f>
        <v>401.511</v>
      </c>
      <c r="F28" s="22" t="n">
        <f aca="false">F26-F27</f>
        <v>461.73765</v>
      </c>
      <c r="G28" s="22" t="n">
        <f aca="false">G26-G27</f>
        <v>530.9982975</v>
      </c>
      <c r="H28" s="22" t="n">
        <f aca="false">H26-H27</f>
        <v>610.648042125</v>
      </c>
      <c r="I28" s="22" t="n">
        <f aca="false">I26-I27</f>
        <v>702.24524844375</v>
      </c>
      <c r="J28" s="22" t="n">
        <f aca="false">J26-J27</f>
        <v>807.582035710312</v>
      </c>
      <c r="K28" s="22" t="n">
        <f aca="false">K26-K27</f>
        <v>928.719341066859</v>
      </c>
      <c r="L28" s="22" t="n">
        <f aca="false">L26-L27</f>
        <v>1068.02724222689</v>
      </c>
      <c r="M28" s="22" t="n">
        <f aca="false">M26-M27</f>
        <v>1228.23132856092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264</v>
      </c>
      <c r="D31" s="21" t="n">
        <f aca="false">C34</f>
        <v>541.2</v>
      </c>
      <c r="E31" s="21" t="n">
        <f aca="false">D34</f>
        <v>836.22</v>
      </c>
      <c r="F31" s="21" t="n">
        <f aca="false">E34</f>
        <v>1154.109</v>
      </c>
      <c r="G31" s="21" t="n">
        <f aca="false">F34</f>
        <v>1500.43575</v>
      </c>
      <c r="H31" s="21" t="n">
        <f aca="false">G34</f>
        <v>1881.3904725</v>
      </c>
      <c r="I31" s="21" t="n">
        <f aca="false">H34</f>
        <v>2303.899467375</v>
      </c>
      <c r="J31" s="21" t="n">
        <f aca="false">I34</f>
        <v>2775.75476908125</v>
      </c>
      <c r="K31" s="21" t="n">
        <f aca="false">J34</f>
        <v>3305.76132788344</v>
      </c>
      <c r="L31" s="21" t="n">
        <f aca="false">K34</f>
        <v>3903.90453616195</v>
      </c>
      <c r="M31" s="21" t="n">
        <f aca="false">L34</f>
        <v>4581.54132477265</v>
      </c>
    </row>
    <row r="32" customFormat="false" ht="15" hidden="false" customHeight="false" outlineLevel="0" collapsed="false">
      <c r="A32" s="2" t="s">
        <v>112</v>
      </c>
      <c r="B32" s="22" t="n">
        <f aca="false">B28</f>
        <v>264</v>
      </c>
      <c r="C32" s="22" t="n">
        <f aca="false">C28</f>
        <v>303.6</v>
      </c>
      <c r="D32" s="22" t="n">
        <f aca="false">D28</f>
        <v>349.14</v>
      </c>
      <c r="E32" s="22" t="n">
        <f aca="false">E28</f>
        <v>401.511</v>
      </c>
      <c r="F32" s="22" t="n">
        <f aca="false">F28</f>
        <v>461.73765</v>
      </c>
      <c r="G32" s="22" t="n">
        <f aca="false">G28</f>
        <v>530.9982975</v>
      </c>
      <c r="H32" s="22" t="n">
        <f aca="false">H28</f>
        <v>610.648042125</v>
      </c>
      <c r="I32" s="22" t="n">
        <f aca="false">I28</f>
        <v>702.24524844375</v>
      </c>
      <c r="J32" s="22" t="n">
        <f aca="false">J28</f>
        <v>807.582035710312</v>
      </c>
      <c r="K32" s="22" t="n">
        <f aca="false">K28</f>
        <v>928.719341066859</v>
      </c>
      <c r="L32" s="22" t="n">
        <f aca="false">L28</f>
        <v>1068.02724222689</v>
      </c>
      <c r="M32" s="22" t="n">
        <f aca="false">M28</f>
        <v>1228.23132856092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26.4</v>
      </c>
      <c r="D33" s="21" t="n">
        <f aca="false">D31*$B$8</f>
        <v>54.12</v>
      </c>
      <c r="E33" s="21" t="n">
        <f aca="false">E31*$B$8</f>
        <v>83.622</v>
      </c>
      <c r="F33" s="21" t="n">
        <f aca="false">F31*$B$8</f>
        <v>115.4109</v>
      </c>
      <c r="G33" s="21" t="n">
        <f aca="false">G31*$B$8</f>
        <v>150.043575</v>
      </c>
      <c r="H33" s="21" t="n">
        <f aca="false">H31*$B$8</f>
        <v>188.13904725</v>
      </c>
      <c r="I33" s="21" t="n">
        <f aca="false">I31*$B$8</f>
        <v>230.3899467375</v>
      </c>
      <c r="J33" s="21" t="n">
        <f aca="false">J31*$B$8</f>
        <v>277.575476908125</v>
      </c>
      <c r="K33" s="21" t="n">
        <f aca="false">K31*$B$8</f>
        <v>330.576132788344</v>
      </c>
      <c r="L33" s="21" t="n">
        <f aca="false">L31*$B$8</f>
        <v>390.390453616195</v>
      </c>
      <c r="M33" s="21" t="n">
        <f aca="false">M31*$B$8</f>
        <v>458.154132477265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264</v>
      </c>
      <c r="C34" s="22" t="n">
        <f aca="false">C31+C32-C33</f>
        <v>541.2</v>
      </c>
      <c r="D34" s="22" t="n">
        <f aca="false">D31+D32-D33</f>
        <v>836.22</v>
      </c>
      <c r="E34" s="22" t="n">
        <f aca="false">E31+E32-E33</f>
        <v>1154.109</v>
      </c>
      <c r="F34" s="22" t="n">
        <f aca="false">F31+F32-F33</f>
        <v>1500.43575</v>
      </c>
      <c r="G34" s="22" t="n">
        <f aca="false">G31+G32-G33</f>
        <v>1881.3904725</v>
      </c>
      <c r="H34" s="22" t="n">
        <f aca="false">H31+H32-H33</f>
        <v>2303.899467375</v>
      </c>
      <c r="I34" s="22" t="n">
        <f aca="false">I31+I32-I33</f>
        <v>2775.75476908125</v>
      </c>
      <c r="J34" s="22" t="n">
        <f aca="false">J31+J32-J33</f>
        <v>3305.76132788344</v>
      </c>
      <c r="K34" s="22" t="n">
        <f aca="false">K31+K32-K33</f>
        <v>3903.90453616195</v>
      </c>
      <c r="L34" s="22" t="n">
        <f aca="false">L31+L32-L33</f>
        <v>4581.54132477265</v>
      </c>
      <c r="M34" s="22" t="n">
        <f aca="false">M31+M32-M33</f>
        <v>5351.6185208563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132</v>
      </c>
      <c r="C35" s="21" t="n">
        <f aca="false">(C31+C34)/2</f>
        <v>402.6</v>
      </c>
      <c r="D35" s="21" t="n">
        <f aca="false">(D31+D34)/2</f>
        <v>688.71</v>
      </c>
      <c r="E35" s="21" t="n">
        <f aca="false">(E31+E34)/2</f>
        <v>995.1645</v>
      </c>
      <c r="F35" s="21" t="n">
        <f aca="false">(F31+F34)/2</f>
        <v>1327.272375</v>
      </c>
      <c r="G35" s="21" t="n">
        <f aca="false">(G31+G34)/2</f>
        <v>1690.91311125</v>
      </c>
      <c r="H35" s="21" t="n">
        <f aca="false">(H31+H34)/2</f>
        <v>2092.6449699375</v>
      </c>
      <c r="I35" s="21" t="n">
        <f aca="false">(I31+I34)/2</f>
        <v>2539.82711822812</v>
      </c>
      <c r="J35" s="21" t="n">
        <f aca="false">(J31+J34)/2</f>
        <v>3040.75804848234</v>
      </c>
      <c r="K35" s="21" t="n">
        <f aca="false">(K31+K34)/2</f>
        <v>3604.83293202269</v>
      </c>
      <c r="L35" s="21" t="n">
        <f aca="false">(L31+L34)/2</f>
        <v>4242.7229304673</v>
      </c>
      <c r="M35" s="21" t="n">
        <f aca="false">(M31+M34)/2</f>
        <v>4966.57992281447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392832</v>
      </c>
      <c r="C37" s="21" t="n">
        <f aca="false">(C35*$D$17)*DAY(EOMONTH(C$25,0))*1440/$E$17*$B$12</f>
        <v>1159488</v>
      </c>
      <c r="D37" s="21" t="n">
        <f aca="false">(D35*$D$17)*DAY(EOMONTH(D$25,0))*1440/$E$17*$B$12</f>
        <v>2049600.96</v>
      </c>
      <c r="E37" s="21" t="n">
        <f aca="false">(E35*$D$17)*DAY(EOMONTH(E$25,0))*1440/$E$17*$B$12</f>
        <v>2961609.552</v>
      </c>
      <c r="F37" s="21" t="n">
        <f aca="false">(F35*$D$17)*DAY(EOMONTH(F$25,0))*1440/$E$17*$B$12</f>
        <v>3567708.144</v>
      </c>
      <c r="G37" s="21" t="n">
        <f aca="false">(G35*$D$17)*DAY(EOMONTH(G$25,0))*1440/$E$17*$B$12</f>
        <v>5032157.41908</v>
      </c>
      <c r="H37" s="21" t="n">
        <f aca="false">(H35*$D$17)*DAY(EOMONTH(H$25,0))*1440/$E$17*$B$12</f>
        <v>6026817.51342</v>
      </c>
      <c r="I37" s="21" t="n">
        <f aca="false">(I35*$D$17)*DAY(EOMONTH(I$25,0))*1440/$E$17*$B$12</f>
        <v>7558525.5038469</v>
      </c>
      <c r="J37" s="21" t="n">
        <f aca="false">(J35*$D$17)*DAY(EOMONTH(J$25,0))*1440/$E$17*$B$12</f>
        <v>8757383.17962915</v>
      </c>
      <c r="K37" s="21" t="n">
        <f aca="false">(K35*$D$17)*DAY(EOMONTH(K$25,0))*1440/$E$17*$B$12</f>
        <v>10727982.8056995</v>
      </c>
      <c r="L37" s="21" t="n">
        <f aca="false">(L35*$D$17)*DAY(EOMONTH(L$25,0))*1440/$E$17*$B$12</f>
        <v>12626343.4410707</v>
      </c>
      <c r="M37" s="21" t="n">
        <f aca="false">(M35*$D$17)*DAY(EOMONTH(M$25,0))*1440/$E$17*$B$12</f>
        <v>14303750.1777057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67.15104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198.24024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350.3605512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506.26008444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610.22674713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860.2013179551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1030.41838319722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1292.06085158501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1497.26926307271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1833.85060917858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2158.35800918732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2445.54395399385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16.2</v>
      </c>
      <c r="D41" s="21" t="n">
        <f aca="false">C44</f>
        <v>34.425</v>
      </c>
      <c r="E41" s="21" t="n">
        <f aca="false">D44</f>
        <v>54.988875</v>
      </c>
      <c r="F41" s="21" t="n">
        <f aca="false">E44</f>
        <v>78.252328125</v>
      </c>
      <c r="G41" s="21" t="n">
        <f aca="false">F44</f>
        <v>104.629921171875</v>
      </c>
      <c r="H41" s="21" t="n">
        <f aca="false">G44</f>
        <v>134.598159580078</v>
      </c>
      <c r="I41" s="21" t="n">
        <f aca="false">H44</f>
        <v>168.704789993701</v>
      </c>
      <c r="J41" s="21" t="n">
        <f aca="false">I44</f>
        <v>207.579492307452</v>
      </c>
      <c r="K41" s="21" t="n">
        <f aca="false">J44</f>
        <v>251.946175372899</v>
      </c>
      <c r="L41" s="21" t="n">
        <f aca="false">K44</f>
        <v>302.637116917679</v>
      </c>
      <c r="M41" s="21" t="n">
        <f aca="false">L44</f>
        <v>360.609224313205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16.2</v>
      </c>
      <c r="C42" s="22" t="n">
        <f aca="false">C27*$C$18</f>
        <v>18.63</v>
      </c>
      <c r="D42" s="22" t="n">
        <f aca="false">D27*$C$18</f>
        <v>21.4245</v>
      </c>
      <c r="E42" s="22" t="n">
        <f aca="false">E27*$C$18</f>
        <v>24.638175</v>
      </c>
      <c r="F42" s="22" t="n">
        <f aca="false">F27*$C$18</f>
        <v>28.33390125</v>
      </c>
      <c r="G42" s="22" t="n">
        <f aca="false">G27*$C$18</f>
        <v>32.5839864375</v>
      </c>
      <c r="H42" s="22" t="n">
        <f aca="false">H27*$C$18</f>
        <v>37.471584403125</v>
      </c>
      <c r="I42" s="22" t="n">
        <f aca="false">I27*$C$18</f>
        <v>43.0923220635937</v>
      </c>
      <c r="J42" s="22" t="n">
        <f aca="false">J27*$C$18</f>
        <v>49.5561703731328</v>
      </c>
      <c r="K42" s="22" t="n">
        <f aca="false">K27*$C$18</f>
        <v>56.9895959291027</v>
      </c>
      <c r="L42" s="22" t="n">
        <f aca="false">L27*$C$18</f>
        <v>65.5380353184681</v>
      </c>
      <c r="M42" s="22" t="n">
        <f aca="false">M27*$C$18</f>
        <v>75.3687406162383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0.405</v>
      </c>
      <c r="D43" s="21" t="n">
        <f aca="false">D41*$B$7</f>
        <v>0.860625</v>
      </c>
      <c r="E43" s="21" t="n">
        <f aca="false">E41*$B$7</f>
        <v>1.374721875</v>
      </c>
      <c r="F43" s="21" t="n">
        <f aca="false">F41*$B$7</f>
        <v>1.956308203125</v>
      </c>
      <c r="G43" s="21" t="n">
        <f aca="false">G41*$B$7</f>
        <v>2.61574802929687</v>
      </c>
      <c r="H43" s="21" t="n">
        <f aca="false">H41*$B$7</f>
        <v>3.36495398950195</v>
      </c>
      <c r="I43" s="21" t="n">
        <f aca="false">I41*$B$7</f>
        <v>4.21761974984253</v>
      </c>
      <c r="J43" s="21" t="n">
        <f aca="false">J41*$B$7</f>
        <v>5.18948730768631</v>
      </c>
      <c r="K43" s="21" t="n">
        <f aca="false">K41*$B$7</f>
        <v>6.29865438432247</v>
      </c>
      <c r="L43" s="21" t="n">
        <f aca="false">L41*$B$7</f>
        <v>7.56592792294198</v>
      </c>
      <c r="M43" s="21" t="n">
        <f aca="false">M41*$B$7</f>
        <v>9.01523060783013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16.2</v>
      </c>
      <c r="C44" s="22" t="n">
        <f aca="false">C41+C42-C43</f>
        <v>34.425</v>
      </c>
      <c r="D44" s="22" t="n">
        <f aca="false">D41+D42-D43</f>
        <v>54.988875</v>
      </c>
      <c r="E44" s="22" t="n">
        <f aca="false">E41+E42-E43</f>
        <v>78.252328125</v>
      </c>
      <c r="F44" s="22" t="n">
        <f aca="false">F41+F42-F43</f>
        <v>104.629921171875</v>
      </c>
      <c r="G44" s="22" t="n">
        <f aca="false">G41+G42-G43</f>
        <v>134.598159580078</v>
      </c>
      <c r="H44" s="22" t="n">
        <f aca="false">H41+H42-H43</f>
        <v>168.704789993701</v>
      </c>
      <c r="I44" s="22" t="n">
        <f aca="false">I41+I42-I43</f>
        <v>207.579492307452</v>
      </c>
      <c r="J44" s="22" t="n">
        <f aca="false">J41+J42-J43</f>
        <v>251.946175372899</v>
      </c>
      <c r="K44" s="22" t="n">
        <f aca="false">K41+K42-K43</f>
        <v>302.637116917679</v>
      </c>
      <c r="L44" s="22" t="n">
        <f aca="false">L41+L42-L43</f>
        <v>360.609224313205</v>
      </c>
      <c r="M44" s="22" t="n">
        <f aca="false">M41+M42-M43</f>
        <v>426.962734321613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8.1</v>
      </c>
      <c r="C45" s="21" t="n">
        <f aca="false">(C41+C44)/2</f>
        <v>25.3125</v>
      </c>
      <c r="D45" s="21" t="n">
        <f aca="false">(D41+D44)/2</f>
        <v>44.7069375</v>
      </c>
      <c r="E45" s="21" t="n">
        <f aca="false">(E41+E44)/2</f>
        <v>66.6206015625</v>
      </c>
      <c r="F45" s="21" t="n">
        <f aca="false">(F41+F44)/2</f>
        <v>91.4411246484375</v>
      </c>
      <c r="G45" s="21" t="n">
        <f aca="false">(G41+G44)/2</f>
        <v>119.614040375977</v>
      </c>
      <c r="H45" s="21" t="n">
        <f aca="false">(H41+H44)/2</f>
        <v>151.65147478689</v>
      </c>
      <c r="I45" s="21" t="n">
        <f aca="false">(I41+I44)/2</f>
        <v>188.142141150577</v>
      </c>
      <c r="J45" s="21" t="n">
        <f aca="false">(J41+J44)/2</f>
        <v>229.762833840176</v>
      </c>
      <c r="K45" s="21" t="n">
        <f aca="false">(K41+K44)/2</f>
        <v>277.291646145289</v>
      </c>
      <c r="L45" s="21" t="n">
        <f aca="false">(L41+L44)/2</f>
        <v>331.623170615442</v>
      </c>
      <c r="M45" s="21" t="n">
        <f aca="false">(M41+M44)/2</f>
        <v>393.785979317409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72.9</v>
      </c>
      <c r="C46" s="22" t="n">
        <f aca="false">C45*$B$18</f>
        <v>227.8125</v>
      </c>
      <c r="D46" s="22" t="n">
        <f aca="false">D45*$B$18</f>
        <v>402.3624375</v>
      </c>
      <c r="E46" s="22" t="n">
        <f aca="false">E45*$B$18</f>
        <v>599.5854140625</v>
      </c>
      <c r="F46" s="22" t="n">
        <f aca="false">F45*$B$18</f>
        <v>822.970121835937</v>
      </c>
      <c r="G46" s="22" t="n">
        <f aca="false">G45*$B$18</f>
        <v>1076.52636338379</v>
      </c>
      <c r="H46" s="22" t="n">
        <f aca="false">H45*$B$18</f>
        <v>1364.86327308201</v>
      </c>
      <c r="I46" s="22" t="n">
        <f aca="false">I45*$B$18</f>
        <v>1693.27927035519</v>
      </c>
      <c r="J46" s="22" t="n">
        <f aca="false">J45*$B$18</f>
        <v>2067.86550456158</v>
      </c>
      <c r="K46" s="22" t="n">
        <f aca="false">K45*$B$18</f>
        <v>2495.6248153076</v>
      </c>
      <c r="L46" s="22" t="n">
        <f aca="false">L45*$B$18</f>
        <v>2984.60853553898</v>
      </c>
      <c r="M46" s="22" t="n">
        <f aca="false">M45*$B$18</f>
        <v>3544.07381385668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216950.4</v>
      </c>
      <c r="C47" s="21" t="n">
        <f aca="false">(C45*$D$18)*DAY(EOMONTH(C$25,0))*1440/$E$18*$B$12</f>
        <v>656100</v>
      </c>
      <c r="D47" s="21" t="n">
        <f aca="false">(D45*$D$18)*DAY(EOMONTH(D$25,0))*1440/$E$18*$B$12</f>
        <v>1197430.614</v>
      </c>
      <c r="E47" s="21" t="n">
        <f aca="false">(E45*$D$18)*DAY(EOMONTH(E$25,0))*1440/$E$18*$B$12</f>
        <v>1784366.19225</v>
      </c>
      <c r="F47" s="21" t="n">
        <f aca="false">(F45*$D$18)*DAY(EOMONTH(F$25,0))*1440/$E$18*$B$12</f>
        <v>2212143.687495</v>
      </c>
      <c r="G47" s="21" t="n">
        <f aca="false">(G45*$D$18)*DAY(EOMONTH(G$25,0))*1440/$E$18*$B$12</f>
        <v>3203742.45743016</v>
      </c>
      <c r="H47" s="21" t="n">
        <f aca="false">(H45*$D$18)*DAY(EOMONTH(H$25,0))*1440/$E$18*$B$12</f>
        <v>3930806.22647618</v>
      </c>
      <c r="I47" s="21" t="n">
        <f aca="false">(I45*$D$18)*DAY(EOMONTH(I$25,0))*1440/$E$18*$B$12</f>
        <v>5039199.10857705</v>
      </c>
      <c r="J47" s="21" t="n">
        <f aca="false">(J45*$D$18)*DAY(EOMONTH(J$25,0))*1440/$E$18*$B$12</f>
        <v>5955452.65313735</v>
      </c>
      <c r="K47" s="21" t="n">
        <f aca="false">(K45*$D$18)*DAY(EOMONTH(K$25,0))*1440/$E$18*$B$12</f>
        <v>7426979.45035542</v>
      </c>
      <c r="L47" s="21" t="n">
        <f aca="false">(L45*$D$18)*DAY(EOMONTH(L$25,0))*1440/$E$18*$B$12</f>
        <v>8882195.001764</v>
      </c>
      <c r="M47" s="21" t="n">
        <f aca="false">(M45*$D$18)*DAY(EOMONTH(M$25,0))*1440/$E$18*$B$12</f>
        <v>10206932.5839072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5.832</v>
      </c>
      <c r="C48" s="22" t="n">
        <f aca="false">(C45*$D$18)*Inputs!$B$8*$B$13*Inputs!$B$9*$F$18</f>
        <v>18.225</v>
      </c>
      <c r="D48" s="22" t="n">
        <f aca="false">(D45*$D$18)*Inputs!$B$8*$B$13*Inputs!$B$9*$F$18</f>
        <v>32.188995</v>
      </c>
      <c r="E48" s="22" t="n">
        <f aca="false">(E45*$D$18)*Inputs!$B$8*$B$13*Inputs!$B$9*$F$18</f>
        <v>47.966833125</v>
      </c>
      <c r="F48" s="22" t="n">
        <f aca="false">(F45*$D$18)*Inputs!$B$8*$B$13*Inputs!$B$9*$F$18</f>
        <v>65.837609746875</v>
      </c>
      <c r="G48" s="22" t="n">
        <f aca="false">(G45*$D$18)*Inputs!$B$8*$B$13*Inputs!$B$9*$F$18</f>
        <v>86.1221090707031</v>
      </c>
      <c r="H48" s="22" t="n">
        <f aca="false">(H45*$D$18)*Inputs!$B$8*$B$13*Inputs!$B$9*$F$18</f>
        <v>109.189061846561</v>
      </c>
      <c r="I48" s="22" t="n">
        <f aca="false">(I45*$D$18)*Inputs!$B$8*$B$13*Inputs!$B$9*$F$18</f>
        <v>135.462341628415</v>
      </c>
      <c r="J48" s="22" t="n">
        <f aca="false">(J45*$D$18)*Inputs!$B$8*$B$13*Inputs!$B$9*$F$18</f>
        <v>165.429240364926</v>
      </c>
      <c r="K48" s="22" t="n">
        <f aca="false">(K45*$D$18)*Inputs!$B$8*$B$13*Inputs!$B$9*$F$18</f>
        <v>199.649985224608</v>
      </c>
      <c r="L48" s="22" t="n">
        <f aca="false">(L45*$D$18)*Inputs!$B$8*$B$13*Inputs!$B$9*$F$18</f>
        <v>238.768682843118</v>
      </c>
      <c r="M48" s="22" t="n">
        <f aca="false">(M45*$D$18)*Inputs!$B$8*$B$13*Inputs!$B$9*$F$18</f>
        <v>283.525905108535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48.58828416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143.260488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257.8494608856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383.1305868369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484.746171845346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686.122256156297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847.035483537484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1077.96928111239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1282.22326135151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1587.76494962288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1898.46822886337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2196.12425192787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14.4</v>
      </c>
      <c r="D51" s="21" t="n">
        <f aca="false">C54</f>
        <v>30.6</v>
      </c>
      <c r="E51" s="21" t="n">
        <f aca="false">D54</f>
        <v>48.879</v>
      </c>
      <c r="F51" s="21" t="n">
        <f aca="false">E54</f>
        <v>69.557625</v>
      </c>
      <c r="G51" s="21" t="n">
        <f aca="false">F54</f>
        <v>93.004374375</v>
      </c>
      <c r="H51" s="21" t="n">
        <f aca="false">G54</f>
        <v>119.642808515625</v>
      </c>
      <c r="I51" s="21" t="n">
        <f aca="false">H54</f>
        <v>149.959813327734</v>
      </c>
      <c r="J51" s="21" t="n">
        <f aca="false">I54</f>
        <v>184.515104273291</v>
      </c>
      <c r="K51" s="21" t="n">
        <f aca="false">J54</f>
        <v>223.952155887021</v>
      </c>
      <c r="L51" s="21" t="n">
        <f aca="false">K54</f>
        <v>269.010770593493</v>
      </c>
      <c r="M51" s="21" t="n">
        <f aca="false">L54</f>
        <v>320.541532722849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14.4</v>
      </c>
      <c r="C52" s="22" t="n">
        <f aca="false">C27*$C$19</f>
        <v>16.56</v>
      </c>
      <c r="D52" s="22" t="n">
        <f aca="false">D27*$C$19</f>
        <v>19.044</v>
      </c>
      <c r="E52" s="22" t="n">
        <f aca="false">E27*$C$19</f>
        <v>21.9006</v>
      </c>
      <c r="F52" s="22" t="n">
        <f aca="false">F27*$C$19</f>
        <v>25.18569</v>
      </c>
      <c r="G52" s="22" t="n">
        <f aca="false">G27*$C$19</f>
        <v>28.9635435</v>
      </c>
      <c r="H52" s="22" t="n">
        <f aca="false">H27*$C$19</f>
        <v>33.308075025</v>
      </c>
      <c r="I52" s="22" t="n">
        <f aca="false">I27*$C$19</f>
        <v>38.30428627875</v>
      </c>
      <c r="J52" s="22" t="n">
        <f aca="false">J27*$C$19</f>
        <v>44.0499292205625</v>
      </c>
      <c r="K52" s="22" t="n">
        <f aca="false">K27*$C$19</f>
        <v>50.6574186036468</v>
      </c>
      <c r="L52" s="22" t="n">
        <f aca="false">L27*$C$19</f>
        <v>58.2560313941939</v>
      </c>
      <c r="M52" s="22" t="n">
        <f aca="false">M27*$C$19</f>
        <v>66.9944361033229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0.36</v>
      </c>
      <c r="D53" s="21" t="n">
        <f aca="false">D51*$B$7</f>
        <v>0.765</v>
      </c>
      <c r="E53" s="21" t="n">
        <f aca="false">E51*$B$7</f>
        <v>1.221975</v>
      </c>
      <c r="F53" s="21" t="n">
        <f aca="false">F51*$B$7</f>
        <v>1.738940625</v>
      </c>
      <c r="G53" s="21" t="n">
        <f aca="false">G51*$B$7</f>
        <v>2.325109359375</v>
      </c>
      <c r="H53" s="21" t="n">
        <f aca="false">H51*$B$7</f>
        <v>2.99107021289063</v>
      </c>
      <c r="I53" s="21" t="n">
        <f aca="false">I51*$B$7</f>
        <v>3.74899533319336</v>
      </c>
      <c r="J53" s="21" t="n">
        <f aca="false">J51*$B$7</f>
        <v>4.61287760683227</v>
      </c>
      <c r="K53" s="21" t="n">
        <f aca="false">K51*$B$7</f>
        <v>5.59880389717553</v>
      </c>
      <c r="L53" s="21" t="n">
        <f aca="false">L51*$B$7</f>
        <v>6.72526926483731</v>
      </c>
      <c r="M53" s="21" t="n">
        <f aca="false">M51*$B$7</f>
        <v>8.01353831807123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14.4</v>
      </c>
      <c r="C54" s="22" t="n">
        <f aca="false">C51+C52-C53</f>
        <v>30.6</v>
      </c>
      <c r="D54" s="22" t="n">
        <f aca="false">D51+D52-D53</f>
        <v>48.879</v>
      </c>
      <c r="E54" s="22" t="n">
        <f aca="false">E51+E52-E53</f>
        <v>69.557625</v>
      </c>
      <c r="F54" s="22" t="n">
        <f aca="false">F51+F52-F53</f>
        <v>93.004374375</v>
      </c>
      <c r="G54" s="22" t="n">
        <f aca="false">G51+G52-G53</f>
        <v>119.642808515625</v>
      </c>
      <c r="H54" s="22" t="n">
        <f aca="false">H51+H52-H53</f>
        <v>149.959813327734</v>
      </c>
      <c r="I54" s="22" t="n">
        <f aca="false">I51+I52-I53</f>
        <v>184.515104273291</v>
      </c>
      <c r="J54" s="22" t="n">
        <f aca="false">J51+J52-J53</f>
        <v>223.952155887021</v>
      </c>
      <c r="K54" s="22" t="n">
        <f aca="false">K51+K52-K53</f>
        <v>269.010770593493</v>
      </c>
      <c r="L54" s="22" t="n">
        <f aca="false">L51+L52-L53</f>
        <v>320.541532722849</v>
      </c>
      <c r="M54" s="22" t="n">
        <f aca="false">M51+M52-M53</f>
        <v>379.522430508101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7.2</v>
      </c>
      <c r="C55" s="21" t="n">
        <f aca="false">(C51+C54)/2</f>
        <v>22.5</v>
      </c>
      <c r="D55" s="21" t="n">
        <f aca="false">(D51+D54)/2</f>
        <v>39.7395</v>
      </c>
      <c r="E55" s="21" t="n">
        <f aca="false">(E51+E54)/2</f>
        <v>59.2183125</v>
      </c>
      <c r="F55" s="21" t="n">
        <f aca="false">(F51+F54)/2</f>
        <v>81.2809996875</v>
      </c>
      <c r="G55" s="21" t="n">
        <f aca="false">(G51+G54)/2</f>
        <v>106.323591445312</v>
      </c>
      <c r="H55" s="21" t="n">
        <f aca="false">(H51+H54)/2</f>
        <v>134.80131092168</v>
      </c>
      <c r="I55" s="21" t="n">
        <f aca="false">(I51+I54)/2</f>
        <v>167.237458800513</v>
      </c>
      <c r="J55" s="21" t="n">
        <f aca="false">(J51+J54)/2</f>
        <v>204.233630080156</v>
      </c>
      <c r="K55" s="21" t="n">
        <f aca="false">(K51+K54)/2</f>
        <v>246.481463240257</v>
      </c>
      <c r="L55" s="21" t="n">
        <f aca="false">(L51+L54)/2</f>
        <v>294.776151658171</v>
      </c>
      <c r="M55" s="21" t="n">
        <f aca="false">(M51+M54)/2</f>
        <v>350.031981615475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208.8</v>
      </c>
      <c r="C56" s="22" t="n">
        <f aca="false">C55*$B$19</f>
        <v>652.5</v>
      </c>
      <c r="D56" s="22" t="n">
        <f aca="false">D55*$B$19</f>
        <v>1152.4455</v>
      </c>
      <c r="E56" s="22" t="n">
        <f aca="false">E55*$B$19</f>
        <v>1717.3310625</v>
      </c>
      <c r="F56" s="22" t="n">
        <f aca="false">F55*$B$19</f>
        <v>2357.1489909375</v>
      </c>
      <c r="G56" s="22" t="n">
        <f aca="false">G55*$B$19</f>
        <v>3083.38415191406</v>
      </c>
      <c r="H56" s="22" t="n">
        <f aca="false">H55*$B$19</f>
        <v>3909.23801672871</v>
      </c>
      <c r="I56" s="22" t="n">
        <f aca="false">I55*$B$19</f>
        <v>4849.88630521487</v>
      </c>
      <c r="J56" s="22" t="n">
        <f aca="false">J55*$B$19</f>
        <v>5922.77527232453</v>
      </c>
      <c r="K56" s="22" t="n">
        <f aca="false">K55*$B$19</f>
        <v>7147.96243396745</v>
      </c>
      <c r="L56" s="22" t="n">
        <f aca="false">L55*$B$19</f>
        <v>8548.50839808695</v>
      </c>
      <c r="M56" s="22" t="n">
        <f aca="false">M55*$B$19</f>
        <v>10150.9274668488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642816</v>
      </c>
      <c r="C57" s="21" t="n">
        <f aca="false">(C55*$D$19)*DAY(EOMONTH(C$25,0))*1440/$E$19*$B$12</f>
        <v>1944000</v>
      </c>
      <c r="D57" s="21" t="n">
        <f aca="false">(D55*$D$19)*DAY(EOMONTH(D$25,0))*1440/$E$19*$B$12</f>
        <v>3547942.56</v>
      </c>
      <c r="E57" s="21" t="n">
        <f aca="false">(E55*$D$19)*DAY(EOMONTH(E$25,0))*1440/$E$19*$B$12</f>
        <v>5287010.94</v>
      </c>
      <c r="F57" s="21" t="n">
        <f aca="false">(F55*$D$19)*DAY(EOMONTH(F$25,0))*1440/$E$19*$B$12</f>
        <v>6554499.8148</v>
      </c>
      <c r="G57" s="21" t="n">
        <f aca="false">(G55*$D$19)*DAY(EOMONTH(G$25,0))*1440/$E$19*$B$12</f>
        <v>9492570.2442375</v>
      </c>
      <c r="H57" s="21" t="n">
        <f aca="false">(H55*$D$19)*DAY(EOMONTH(H$25,0))*1440/$E$19*$B$12</f>
        <v>11646833.2636331</v>
      </c>
      <c r="I57" s="21" t="n">
        <f aca="false">(I55*$D$19)*DAY(EOMONTH(I$25,0))*1440/$E$19*$B$12</f>
        <v>14930960.3217098</v>
      </c>
      <c r="J57" s="21" t="n">
        <f aca="false">(J55*$D$19)*DAY(EOMONTH(J$25,0))*1440/$E$19*$B$12</f>
        <v>17645785.6389255</v>
      </c>
      <c r="K57" s="21" t="n">
        <f aca="false">(K55*$D$19)*DAY(EOMONTH(K$25,0))*1440/$E$19*$B$12</f>
        <v>22005865.0380901</v>
      </c>
      <c r="L57" s="21" t="n">
        <f aca="false">(L55*$D$19)*DAY(EOMONTH(L$25,0))*1440/$E$19*$B$12</f>
        <v>26317614.8200415</v>
      </c>
      <c r="M57" s="21" t="n">
        <f aca="false">(M55*$D$19)*DAY(EOMONTH(M$25,0))*1440/$E$19*$B$12</f>
        <v>30242763.211577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17.28</v>
      </c>
      <c r="C58" s="22" t="n">
        <f aca="false">(C55*$D$19)*Inputs!$B$8*$B$13*Inputs!$B$9*$F$19</f>
        <v>54</v>
      </c>
      <c r="D58" s="22" t="n">
        <f aca="false">(D55*$D$19)*Inputs!$B$8*$B$13*Inputs!$B$9*$F$19</f>
        <v>95.3748</v>
      </c>
      <c r="E58" s="22" t="n">
        <f aca="false">(E55*$D$19)*Inputs!$B$8*$B$13*Inputs!$B$9*$F$19</f>
        <v>142.12395</v>
      </c>
      <c r="F58" s="22" t="n">
        <f aca="false">(F55*$D$19)*Inputs!$B$8*$B$13*Inputs!$B$9*$F$19</f>
        <v>195.07439925</v>
      </c>
      <c r="G58" s="22" t="n">
        <f aca="false">(G55*$D$19)*Inputs!$B$8*$B$13*Inputs!$B$9*$F$19</f>
        <v>255.17661946875</v>
      </c>
      <c r="H58" s="22" t="n">
        <f aca="false">(H55*$D$19)*Inputs!$B$8*$B$13*Inputs!$B$9*$F$19</f>
        <v>323.523146212031</v>
      </c>
      <c r="I58" s="22" t="n">
        <f aca="false">(I55*$D$19)*Inputs!$B$8*$B$13*Inputs!$B$9*$F$19</f>
        <v>401.36990112123</v>
      </c>
      <c r="J58" s="22" t="n">
        <f aca="false">(J55*$D$19)*Inputs!$B$8*$B$13*Inputs!$B$9*$F$19</f>
        <v>490.160712192375</v>
      </c>
      <c r="K58" s="22" t="n">
        <f aca="false">(K55*$D$19)*Inputs!$B$8*$B$13*Inputs!$B$9*$F$19</f>
        <v>591.555511776616</v>
      </c>
      <c r="L58" s="22" t="n">
        <f aca="false">(L55*$D$19)*Inputs!$B$8*$B$13*Inputs!$B$9*$F$19</f>
        <v>707.46276397961</v>
      </c>
      <c r="M58" s="22" t="n">
        <f aca="false">(M55*$D$19)*Inputs!$B$8*$B$13*Inputs!$B$9*$F$19</f>
        <v>840.07675587714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125.2260864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375.99552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681.989730624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1015.291510776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1273.42794259584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1821.33302778319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2242.6418534391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2863.6915650391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3396.78854540345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4219.74616041762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5046.19452385051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5820.39732261514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5.4</v>
      </c>
      <c r="D61" s="21" t="n">
        <f aca="false">C64</f>
        <v>11.475</v>
      </c>
      <c r="E61" s="21" t="n">
        <f aca="false">D64</f>
        <v>18.329625</v>
      </c>
      <c r="F61" s="21" t="n">
        <f aca="false">E64</f>
        <v>26.084109375</v>
      </c>
      <c r="G61" s="21" t="n">
        <f aca="false">F64</f>
        <v>34.876640390625</v>
      </c>
      <c r="H61" s="21" t="n">
        <f aca="false">G64</f>
        <v>44.8660531933594</v>
      </c>
      <c r="I61" s="21" t="n">
        <f aca="false">H64</f>
        <v>56.2349299979004</v>
      </c>
      <c r="J61" s="21" t="n">
        <f aca="false">I64</f>
        <v>69.1931641024841</v>
      </c>
      <c r="K61" s="21" t="n">
        <f aca="false">J64</f>
        <v>83.982058457633</v>
      </c>
      <c r="L61" s="21" t="n">
        <f aca="false">K64</f>
        <v>100.87903897256</v>
      </c>
      <c r="M61" s="21" t="n">
        <f aca="false">L64</f>
        <v>120.203074771068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5.4</v>
      </c>
      <c r="C62" s="22" t="n">
        <f aca="false">C27*$C$20</f>
        <v>6.21</v>
      </c>
      <c r="D62" s="22" t="n">
        <f aca="false">D27*$C$20</f>
        <v>7.1415</v>
      </c>
      <c r="E62" s="22" t="n">
        <f aca="false">E27*$C$20</f>
        <v>8.212725</v>
      </c>
      <c r="F62" s="22" t="n">
        <f aca="false">F27*$C$20</f>
        <v>9.44463375</v>
      </c>
      <c r="G62" s="22" t="n">
        <f aca="false">G27*$C$20</f>
        <v>10.8613288125</v>
      </c>
      <c r="H62" s="22" t="n">
        <f aca="false">H27*$C$20</f>
        <v>12.490528134375</v>
      </c>
      <c r="I62" s="22" t="n">
        <f aca="false">I27*$C$20</f>
        <v>14.3641073545312</v>
      </c>
      <c r="J62" s="22" t="n">
        <f aca="false">J27*$C$20</f>
        <v>16.5187234577109</v>
      </c>
      <c r="K62" s="22" t="n">
        <f aca="false">K27*$C$20</f>
        <v>18.9965319763676</v>
      </c>
      <c r="L62" s="22" t="n">
        <f aca="false">L27*$C$20</f>
        <v>21.8460117728227</v>
      </c>
      <c r="M62" s="22" t="n">
        <f aca="false">M27*$C$20</f>
        <v>25.1229135387461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0.135</v>
      </c>
      <c r="D63" s="21" t="n">
        <f aca="false">D61*$B$7</f>
        <v>0.286875</v>
      </c>
      <c r="E63" s="21" t="n">
        <f aca="false">E61*$B$7</f>
        <v>0.458240625</v>
      </c>
      <c r="F63" s="21" t="n">
        <f aca="false">F61*$B$7</f>
        <v>0.652102734375</v>
      </c>
      <c r="G63" s="21" t="n">
        <f aca="false">G61*$B$7</f>
        <v>0.871916009765625</v>
      </c>
      <c r="H63" s="21" t="n">
        <f aca="false">H61*$B$7</f>
        <v>1.12165132983398</v>
      </c>
      <c r="I63" s="21" t="n">
        <f aca="false">I61*$B$7</f>
        <v>1.40587324994751</v>
      </c>
      <c r="J63" s="21" t="n">
        <f aca="false">J61*$B$7</f>
        <v>1.7298291025621</v>
      </c>
      <c r="K63" s="21" t="n">
        <f aca="false">K61*$B$7</f>
        <v>2.09955146144082</v>
      </c>
      <c r="L63" s="21" t="n">
        <f aca="false">L61*$B$7</f>
        <v>2.52197597431399</v>
      </c>
      <c r="M63" s="21" t="n">
        <f aca="false">M61*$B$7</f>
        <v>3.00507686927671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5.4</v>
      </c>
      <c r="C64" s="22" t="n">
        <f aca="false">C61+C62-C63</f>
        <v>11.475</v>
      </c>
      <c r="D64" s="22" t="n">
        <f aca="false">D61+D62-D63</f>
        <v>18.329625</v>
      </c>
      <c r="E64" s="22" t="n">
        <f aca="false">E61+E62-E63</f>
        <v>26.084109375</v>
      </c>
      <c r="F64" s="22" t="n">
        <f aca="false">F61+F62-F63</f>
        <v>34.876640390625</v>
      </c>
      <c r="G64" s="22" t="n">
        <f aca="false">G61+G62-G63</f>
        <v>44.8660531933594</v>
      </c>
      <c r="H64" s="22" t="n">
        <f aca="false">H61+H62-H63</f>
        <v>56.2349299979004</v>
      </c>
      <c r="I64" s="22" t="n">
        <f aca="false">I61+I62-I63</f>
        <v>69.1931641024841</v>
      </c>
      <c r="J64" s="22" t="n">
        <f aca="false">J61+J62-J63</f>
        <v>83.982058457633</v>
      </c>
      <c r="K64" s="22" t="n">
        <f aca="false">K61+K62-K63</f>
        <v>100.87903897256</v>
      </c>
      <c r="L64" s="22" t="n">
        <f aca="false">L61+L62-L63</f>
        <v>120.203074771068</v>
      </c>
      <c r="M64" s="22" t="n">
        <f aca="false">M61+M62-M63</f>
        <v>142.320911440538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2.7</v>
      </c>
      <c r="C65" s="21" t="n">
        <f aca="false">(C61+C64)/2</f>
        <v>8.4375</v>
      </c>
      <c r="D65" s="21" t="n">
        <f aca="false">(D61+D64)/2</f>
        <v>14.9023125</v>
      </c>
      <c r="E65" s="21" t="n">
        <f aca="false">(E61+E64)/2</f>
        <v>22.2068671875</v>
      </c>
      <c r="F65" s="21" t="n">
        <f aca="false">(F61+F64)/2</f>
        <v>30.4803748828125</v>
      </c>
      <c r="G65" s="21" t="n">
        <f aca="false">(G61+G64)/2</f>
        <v>39.8713467919922</v>
      </c>
      <c r="H65" s="21" t="n">
        <f aca="false">(H61+H64)/2</f>
        <v>50.5504915956299</v>
      </c>
      <c r="I65" s="21" t="n">
        <f aca="false">(I61+I64)/2</f>
        <v>62.7140470501923</v>
      </c>
      <c r="J65" s="21" t="n">
        <f aca="false">(J61+J64)/2</f>
        <v>76.5876112800585</v>
      </c>
      <c r="K65" s="21" t="n">
        <f aca="false">(K61+K64)/2</f>
        <v>92.4305487150963</v>
      </c>
      <c r="L65" s="21" t="n">
        <f aca="false">(L61+L64)/2</f>
        <v>110.541056871814</v>
      </c>
      <c r="M65" s="21" t="n">
        <f aca="false">(M61+M64)/2</f>
        <v>131.261993105803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267.3</v>
      </c>
      <c r="C66" s="22" t="n">
        <f aca="false">C65*$B$20</f>
        <v>835.3125</v>
      </c>
      <c r="D66" s="22" t="n">
        <f aca="false">D65*$B$20</f>
        <v>1475.3289375</v>
      </c>
      <c r="E66" s="22" t="n">
        <f aca="false">E65*$B$20</f>
        <v>2198.4798515625</v>
      </c>
      <c r="F66" s="22" t="n">
        <f aca="false">F65*$B$20</f>
        <v>3017.55711339844</v>
      </c>
      <c r="G66" s="22" t="n">
        <f aca="false">G65*$B$20</f>
        <v>3947.26333240723</v>
      </c>
      <c r="H66" s="22" t="n">
        <f aca="false">H65*$B$20</f>
        <v>5004.49866796736</v>
      </c>
      <c r="I66" s="22" t="n">
        <f aca="false">I65*$B$20</f>
        <v>6208.69065796903</v>
      </c>
      <c r="J66" s="22" t="n">
        <f aca="false">J65*$B$20</f>
        <v>7582.17351672579</v>
      </c>
      <c r="K66" s="22" t="n">
        <f aca="false">K65*$B$20</f>
        <v>9150.62432279453</v>
      </c>
      <c r="L66" s="22" t="n">
        <f aca="false">L65*$B$20</f>
        <v>10943.5646303096</v>
      </c>
      <c r="M66" s="22" t="n">
        <f aca="false">M65*$B$20</f>
        <v>12994.9373174745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723168</v>
      </c>
      <c r="C67" s="21" t="n">
        <f aca="false">(C65*$D$20)*DAY(EOMONTH(C$25,0))*1440/$E$20*$B$12</f>
        <v>2187000</v>
      </c>
      <c r="D67" s="21" t="n">
        <f aca="false">(D65*$D$20)*DAY(EOMONTH(D$25,0))*1440/$E$20*$B$12</f>
        <v>3991435.38</v>
      </c>
      <c r="E67" s="21" t="n">
        <f aca="false">(E65*$D$20)*DAY(EOMONTH(E$25,0))*1440/$E$20*$B$12</f>
        <v>5947887.3075</v>
      </c>
      <c r="F67" s="21" t="n">
        <f aca="false">(F65*$D$20)*DAY(EOMONTH(F$25,0))*1440/$E$20*$B$12</f>
        <v>7373812.29165</v>
      </c>
      <c r="G67" s="21" t="n">
        <f aca="false">(G65*$D$20)*DAY(EOMONTH(G$25,0))*1440/$E$20*$B$12</f>
        <v>10679141.5247672</v>
      </c>
      <c r="H67" s="21" t="n">
        <f aca="false">(H65*$D$20)*DAY(EOMONTH(H$25,0))*1440/$E$20*$B$12</f>
        <v>13102687.4215873</v>
      </c>
      <c r="I67" s="21" t="n">
        <f aca="false">(I65*$D$20)*DAY(EOMONTH(I$25,0))*1440/$E$20*$B$12</f>
        <v>16797330.3619235</v>
      </c>
      <c r="J67" s="21" t="n">
        <f aca="false">(J65*$D$20)*DAY(EOMONTH(J$25,0))*1440/$E$20*$B$12</f>
        <v>19851508.8437912</v>
      </c>
      <c r="K67" s="21" t="n">
        <f aca="false">(K65*$D$20)*DAY(EOMONTH(K$25,0))*1440/$E$20*$B$12</f>
        <v>24756598.1678514</v>
      </c>
      <c r="L67" s="21" t="n">
        <f aca="false">(L65*$D$20)*DAY(EOMONTH(L$25,0))*1440/$E$20*$B$12</f>
        <v>29607316.6725467</v>
      </c>
      <c r="M67" s="21" t="n">
        <f aca="false">(M65*$D$20)*DAY(EOMONTH(M$25,0))*1440/$E$20*$B$12</f>
        <v>34023108.6130242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19.44</v>
      </c>
      <c r="C68" s="22" t="n">
        <f aca="false">(C65*$D$20)*Inputs!$B$8*$B$13*Inputs!$B$9*$F$20</f>
        <v>60.75</v>
      </c>
      <c r="D68" s="22" t="n">
        <f aca="false">(D65*$D$20)*Inputs!$B$8*$B$13*Inputs!$B$9*$F$20</f>
        <v>107.29665</v>
      </c>
      <c r="E68" s="22" t="n">
        <f aca="false">(E65*$D$20)*Inputs!$B$8*$B$13*Inputs!$B$9*$F$20</f>
        <v>159.88944375</v>
      </c>
      <c r="F68" s="22" t="n">
        <f aca="false">(F65*$D$20)*Inputs!$B$8*$B$13*Inputs!$B$9*$F$20</f>
        <v>219.45869915625</v>
      </c>
      <c r="G68" s="22" t="n">
        <f aca="false">(G65*$D$20)*Inputs!$B$8*$B$13*Inputs!$B$9*$F$20</f>
        <v>287.073696902344</v>
      </c>
      <c r="H68" s="22" t="n">
        <f aca="false">(H65*$D$20)*Inputs!$B$8*$B$13*Inputs!$B$9*$F$20</f>
        <v>363.963539488535</v>
      </c>
      <c r="I68" s="22" t="n">
        <f aca="false">(I65*$D$20)*Inputs!$B$8*$B$13*Inputs!$B$9*$F$20</f>
        <v>451.541138761384</v>
      </c>
      <c r="J68" s="22" t="n">
        <f aca="false">(J65*$D$20)*Inputs!$B$8*$B$13*Inputs!$B$9*$F$20</f>
        <v>551.430801216421</v>
      </c>
      <c r="K68" s="22" t="n">
        <f aca="false">(K65*$D$20)*Inputs!$B$8*$B$13*Inputs!$B$9*$F$20</f>
        <v>665.499950748693</v>
      </c>
      <c r="L68" s="22" t="n">
        <f aca="false">(L65*$D$20)*Inputs!$B$8*$B$13*Inputs!$B$9*$F$20</f>
        <v>795.895609477061</v>
      </c>
      <c r="M68" s="22" t="n">
        <f aca="false">(M65*$D$20)*Inputs!$B$8*$B$13*Inputs!$B$9*$F$20</f>
        <v>945.086350361782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136.1057472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411.31746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747.776158452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1113.9389834355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1394.36759825251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1999.43309936223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2460.51844789393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3144.51553348299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3727.49611529722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4634.18645541611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5542.05967416599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6387.99762899361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36</v>
      </c>
      <c r="C73" s="25" t="n">
        <f aca="false">C44+C54+C64</f>
        <v>76.5</v>
      </c>
      <c r="D73" s="25" t="n">
        <f aca="false">D44+D54+D64</f>
        <v>122.1975</v>
      </c>
      <c r="E73" s="25" t="n">
        <f aca="false">E44+E54+E64</f>
        <v>173.8940625</v>
      </c>
      <c r="F73" s="25" t="n">
        <f aca="false">F44+F54+F64</f>
        <v>232.5109359375</v>
      </c>
      <c r="G73" s="25" t="n">
        <f aca="false">G44+G54+G64</f>
        <v>299.107021289062</v>
      </c>
      <c r="H73" s="25" t="n">
        <f aca="false">H44+H54+H64</f>
        <v>374.899533319336</v>
      </c>
      <c r="I73" s="25" t="n">
        <f aca="false">I44+I54+I64</f>
        <v>461.287760683227</v>
      </c>
      <c r="J73" s="25" t="n">
        <f aca="false">J44+J54+J64</f>
        <v>559.880389717553</v>
      </c>
      <c r="K73" s="25" t="n">
        <f aca="false">K44+K54+K64</f>
        <v>672.526926483731</v>
      </c>
      <c r="L73" s="25" t="n">
        <f aca="false">L44+L54+L64</f>
        <v>801.353831807123</v>
      </c>
      <c r="M73" s="25" t="n">
        <f aca="false">M44+M54+M64</f>
        <v>948.806076270252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18</v>
      </c>
      <c r="C74" s="26" t="n">
        <f aca="false">C45+C55+C65</f>
        <v>56.25</v>
      </c>
      <c r="D74" s="26" t="n">
        <f aca="false">D45+D55+D65</f>
        <v>99.34875</v>
      </c>
      <c r="E74" s="26" t="n">
        <f aca="false">E45+E55+E65</f>
        <v>148.04578125</v>
      </c>
      <c r="F74" s="26" t="n">
        <f aca="false">F45+F55+F65</f>
        <v>203.20249921875</v>
      </c>
      <c r="G74" s="26" t="n">
        <f aca="false">G45+G55+G65</f>
        <v>265.808978613281</v>
      </c>
      <c r="H74" s="26" t="n">
        <f aca="false">H45+H55+H65</f>
        <v>337.003277304199</v>
      </c>
      <c r="I74" s="26" t="n">
        <f aca="false">I45+I55+I65</f>
        <v>418.093647001282</v>
      </c>
      <c r="J74" s="26" t="n">
        <f aca="false">J45+J55+J65</f>
        <v>510.58407520039</v>
      </c>
      <c r="K74" s="26" t="n">
        <f aca="false">K45+K55+K65</f>
        <v>616.203658100642</v>
      </c>
      <c r="L74" s="26" t="n">
        <f aca="false">L45+L55+L65</f>
        <v>736.940379145427</v>
      </c>
      <c r="M74" s="26" t="n">
        <f aca="false">M45+M55+M65</f>
        <v>875.079954038687</v>
      </c>
    </row>
    <row r="75" customFormat="false" ht="15" hidden="false" customHeight="false" outlineLevel="0" collapsed="false">
      <c r="A75" s="3" t="s">
        <v>149</v>
      </c>
      <c r="B75" s="27" t="n">
        <f aca="false">B34</f>
        <v>264</v>
      </c>
      <c r="C75" s="27" t="n">
        <f aca="false">C34</f>
        <v>541.2</v>
      </c>
      <c r="D75" s="27" t="n">
        <f aca="false">D34</f>
        <v>836.22</v>
      </c>
      <c r="E75" s="27" t="n">
        <f aca="false">E34</f>
        <v>1154.109</v>
      </c>
      <c r="F75" s="27" t="n">
        <f aca="false">F34</f>
        <v>1500.43575</v>
      </c>
      <c r="G75" s="27" t="n">
        <f aca="false">G34</f>
        <v>1881.3904725</v>
      </c>
      <c r="H75" s="27" t="n">
        <f aca="false">H34</f>
        <v>2303.899467375</v>
      </c>
      <c r="I75" s="27" t="n">
        <f aca="false">I34</f>
        <v>2775.75476908125</v>
      </c>
      <c r="J75" s="27" t="n">
        <f aca="false">J34</f>
        <v>3305.76132788344</v>
      </c>
      <c r="K75" s="27" t="n">
        <f aca="false">K34</f>
        <v>3903.90453616195</v>
      </c>
      <c r="L75" s="27" t="n">
        <f aca="false">L34</f>
        <v>4581.54132477265</v>
      </c>
      <c r="M75" s="27" t="n">
        <f aca="false">M34</f>
        <v>5351.6185208563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1098</v>
      </c>
      <c r="C76" s="28" t="n">
        <f aca="false">C44*$B$18+C54*$B$19+C64*$B$20</f>
        <v>2333.25</v>
      </c>
      <c r="D76" s="28" t="n">
        <f aca="false">D44*$B$18+D54*$B$19+D64*$B$20</f>
        <v>3727.02375</v>
      </c>
      <c r="E76" s="28" t="n">
        <f aca="false">E44*$B$18+E54*$B$19+E64*$B$20</f>
        <v>5303.76890625</v>
      </c>
      <c r="F76" s="28" t="n">
        <f aca="false">F44*$B$18+F54*$B$19+F64*$B$20</f>
        <v>7091.58354609375</v>
      </c>
      <c r="G76" s="28" t="n">
        <f aca="false">G44*$B$18+G54*$B$19+G64*$B$20</f>
        <v>9122.76414931641</v>
      </c>
      <c r="H76" s="28" t="n">
        <f aca="false">H44*$B$18+H54*$B$19+H64*$B$20</f>
        <v>11434.4357662397</v>
      </c>
      <c r="I76" s="28" t="n">
        <f aca="false">I44*$B$18+I54*$B$19+I64*$B$20</f>
        <v>14069.2767008384</v>
      </c>
      <c r="J76" s="28" t="n">
        <f aca="false">J44*$B$18+J54*$B$19+J64*$B$20</f>
        <v>17076.3518863854</v>
      </c>
      <c r="K76" s="28" t="n">
        <f aca="false">K44*$B$18+K54*$B$19+K64*$B$20</f>
        <v>20512.0712577538</v>
      </c>
      <c r="L76" s="28" t="n">
        <f aca="false">L44*$B$18+L54*$B$19+L64*$B$20</f>
        <v>24441.2918701172</v>
      </c>
      <c r="M76" s="28" t="n">
        <f aca="false">M44*$B$18+M54*$B$19+M64*$B$20</f>
        <v>28938.5853262427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549</v>
      </c>
      <c r="C77" s="28" t="n">
        <f aca="false">C36+C46+C56+C66</f>
        <v>1715.625</v>
      </c>
      <c r="D77" s="28" t="n">
        <f aca="false">D36+D46+D56+D66</f>
        <v>3030.136875</v>
      </c>
      <c r="E77" s="28" t="n">
        <f aca="false">E36+E46+E56+E66</f>
        <v>4515.396328125</v>
      </c>
      <c r="F77" s="28" t="n">
        <f aca="false">F36+F46+F56+F66</f>
        <v>6197.67622617187</v>
      </c>
      <c r="G77" s="28" t="n">
        <f aca="false">G36+G46+G56+G66</f>
        <v>8107.17384770508</v>
      </c>
      <c r="H77" s="28" t="n">
        <f aca="false">H36+H46+H56+H66</f>
        <v>10278.5999577781</v>
      </c>
      <c r="I77" s="28" t="n">
        <f aca="false">I36+I46+I56+I66</f>
        <v>12751.8562335391</v>
      </c>
      <c r="J77" s="28" t="n">
        <f aca="false">J36+J46+J56+J66</f>
        <v>15572.8142936119</v>
      </c>
      <c r="K77" s="28" t="n">
        <f aca="false">K36+K46+K56+K66</f>
        <v>18794.2115720696</v>
      </c>
      <c r="L77" s="28" t="n">
        <f aca="false">L36+L46+L56+L66</f>
        <v>22476.6815639355</v>
      </c>
      <c r="M77" s="28" t="n">
        <f aca="false">M36+M46+M56+M66</f>
        <v>26689.93859818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1975766.4</v>
      </c>
      <c r="C78" s="26" t="n">
        <f aca="false">C37+C47+C57+C67</f>
        <v>5946588</v>
      </c>
      <c r="D78" s="26" t="n">
        <f aca="false">D37+D47+D57+D67</f>
        <v>10786409.514</v>
      </c>
      <c r="E78" s="26" t="n">
        <f aca="false">E37+E47+E57+E67</f>
        <v>15980873.99175</v>
      </c>
      <c r="F78" s="26" t="n">
        <f aca="false">F37+F47+F57+F67</f>
        <v>19708163.937945</v>
      </c>
      <c r="G78" s="26" t="n">
        <f aca="false">G37+G47+G57+G67</f>
        <v>28407611.6455148</v>
      </c>
      <c r="H78" s="26" t="n">
        <f aca="false">H37+H47+H57+H67</f>
        <v>34707144.4251166</v>
      </c>
      <c r="I78" s="26" t="n">
        <f aca="false">I37+I47+I57+I67</f>
        <v>44326015.2960572</v>
      </c>
      <c r="J78" s="26" t="n">
        <f aca="false">J37+J47+J57+J67</f>
        <v>52210130.3154832</v>
      </c>
      <c r="K78" s="26" t="n">
        <f aca="false">K37+K47+K57+K67</f>
        <v>64917425.4619965</v>
      </c>
      <c r="L78" s="26" t="n">
        <f aca="false">L37+L47+L57+L67</f>
        <v>77433469.9354228</v>
      </c>
      <c r="M78" s="26" t="n">
        <f aca="false">M37+M47+M57+M67</f>
        <v>88776554.5862141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42.552</v>
      </c>
      <c r="C79" s="27" t="n">
        <f aca="false">C38+C48+C58+C68</f>
        <v>132.975</v>
      </c>
      <c r="D79" s="27" t="n">
        <f aca="false">D38+D48+D58+D68</f>
        <v>234.860445</v>
      </c>
      <c r="E79" s="27" t="n">
        <f aca="false">E38+E48+E58+E68</f>
        <v>349.980226875</v>
      </c>
      <c r="F79" s="27" t="n">
        <f aca="false">F38+F48+F58+F68</f>
        <v>480.370708153125</v>
      </c>
      <c r="G79" s="27" t="n">
        <f aca="false">G38+G48+G58+G68</f>
        <v>628.372425441797</v>
      </c>
      <c r="H79" s="27" t="n">
        <f aca="false">H38+H48+H58+H68</f>
        <v>796.675747547127</v>
      </c>
      <c r="I79" s="27" t="n">
        <f aca="false">I38+I48+I58+I68</f>
        <v>988.37338151103</v>
      </c>
      <c r="J79" s="27" t="n">
        <f aca="false">J38+J48+J58+J68</f>
        <v>1207.02075377372</v>
      </c>
      <c r="K79" s="27" t="n">
        <f aca="false">K38+K48+K58+K68</f>
        <v>1456.70544774992</v>
      </c>
      <c r="L79" s="27" t="n">
        <f aca="false">L38+L48+L58+L68</f>
        <v>1742.12705629979</v>
      </c>
      <c r="M79" s="27" t="n">
        <f aca="false">M38+M48+M58+M68</f>
        <v>2068.68901134746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377.07115776</v>
      </c>
      <c r="C80" s="29" t="n">
        <f aca="false">C39+C49+C59+C69</f>
        <v>1128.813708</v>
      </c>
      <c r="D80" s="29" t="n">
        <f aca="false">D39+D49+D59+D69</f>
        <v>2037.9759011616</v>
      </c>
      <c r="E80" s="29" t="n">
        <f aca="false">E39+E49+E59+E69</f>
        <v>3018.6211654884</v>
      </c>
      <c r="F80" s="29" t="n">
        <f aca="false">F39+F49+F59+F69</f>
        <v>3762.76845982369</v>
      </c>
      <c r="G80" s="29" t="n">
        <f aca="false">G39+G49+G59+G69</f>
        <v>5367.08970125682</v>
      </c>
      <c r="H80" s="29" t="n">
        <f aca="false">H39+H49+H59+H69</f>
        <v>6580.61416806775</v>
      </c>
      <c r="I80" s="29" t="n">
        <f aca="false">I39+I49+I59+I69</f>
        <v>8378.2372312195</v>
      </c>
      <c r="J80" s="29" t="n">
        <f aca="false">J39+J49+J59+J69</f>
        <v>9903.77718512488</v>
      </c>
      <c r="K80" s="29" t="n">
        <f aca="false">K39+K49+K59+K69</f>
        <v>12275.5481746352</v>
      </c>
      <c r="L80" s="29" t="n">
        <f aca="false">L39+L49+L59+L69</f>
        <v>14645.0804360672</v>
      </c>
      <c r="M80" s="29" t="n">
        <f aca="false">M39+M49+M59+M69</f>
        <v>16850.0631575305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100</v>
      </c>
      <c r="D82" s="29" t="n">
        <f aca="false">MAX(0,ROUNDUP((D35*$D$17+D45*$D$18+D55*$D$19+D65*$D$20)/Inputs!$B$40,0)-1)*Inputs!$B$41</f>
        <v>300</v>
      </c>
      <c r="E82" s="29" t="n">
        <f aca="false">MAX(0,ROUNDUP((E35*$D$17+E45*$D$18+E55*$D$19+E65*$D$20)/Inputs!$B$40,0)-1)*Inputs!$B$41</f>
        <v>400</v>
      </c>
      <c r="F82" s="29" t="n">
        <f aca="false">MAX(0,ROUNDUP((F35*$D$17+F45*$D$18+F55*$D$19+F65*$D$20)/Inputs!$B$40,0)-1)*Inputs!$B$41</f>
        <v>600</v>
      </c>
      <c r="G82" s="29" t="n">
        <f aca="false">MAX(0,ROUNDUP((G35*$D$17+G45*$D$18+G55*$D$19+G65*$D$20)/Inputs!$B$40,0)-1)*Inputs!$B$41</f>
        <v>800</v>
      </c>
      <c r="H82" s="29" t="n">
        <f aca="false">MAX(0,ROUNDUP((H35*$D$17+H45*$D$18+H55*$D$19+H65*$D$20)/Inputs!$B$40,0)-1)*Inputs!$B$41</f>
        <v>1000</v>
      </c>
      <c r="I82" s="29" t="n">
        <f aca="false">MAX(0,ROUNDUP((I35*$D$17+I45*$D$18+I55*$D$19+I65*$D$20)/Inputs!$B$40,0)-1)*Inputs!$B$41</f>
        <v>1300</v>
      </c>
      <c r="J82" s="29" t="n">
        <f aca="false">MAX(0,ROUNDUP((J35*$D$17+J45*$D$18+J55*$D$19+J65*$D$20)/Inputs!$B$40,0)-1)*Inputs!$B$41</f>
        <v>1600</v>
      </c>
      <c r="K82" s="29" t="n">
        <f aca="false">MAX(0,ROUNDUP((K35*$D$17+K45*$D$18+K55*$D$19+K65*$D$20)/Inputs!$B$40,0)-1)*Inputs!$B$41</f>
        <v>1900</v>
      </c>
      <c r="L82" s="29" t="n">
        <f aca="false">MAX(0,ROUNDUP((L35*$D$17+L45*$D$18+L55*$D$19+L65*$D$20)/Inputs!$B$40,0)-1)*Inputs!$B$41</f>
        <v>2300</v>
      </c>
      <c r="M82" s="29" t="n">
        <f aca="false">MAX(0,ROUNDUP((M35*$D$17+M45*$D$18+M55*$D$19+M65*$D$20)/Inputs!$B$40,0)-1)*Inputs!$B$41</f>
        <v>2700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477.07115776</v>
      </c>
      <c r="C83" s="28" t="n">
        <f aca="false">C80+C81+C82</f>
        <v>1328.813708</v>
      </c>
      <c r="D83" s="28" t="n">
        <f aca="false">D80+D81+D82</f>
        <v>2437.9759011616</v>
      </c>
      <c r="E83" s="28" t="n">
        <f aca="false">E80+E81+E82</f>
        <v>3518.6211654884</v>
      </c>
      <c r="F83" s="28" t="n">
        <f aca="false">F80+F81+F82</f>
        <v>4462.76845982369</v>
      </c>
      <c r="G83" s="28" t="n">
        <f aca="false">G80+G81+G82</f>
        <v>6267.08970125682</v>
      </c>
      <c r="H83" s="28" t="n">
        <f aca="false">H80+H81+H82</f>
        <v>7680.61416806775</v>
      </c>
      <c r="I83" s="28" t="n">
        <f aca="false">I80+I81+I82</f>
        <v>9778.2372312195</v>
      </c>
      <c r="J83" s="28" t="n">
        <f aca="false">J80+J81+J82</f>
        <v>11603.7771851249</v>
      </c>
      <c r="K83" s="28" t="n">
        <f aca="false">K80+K81+K82</f>
        <v>14275.5481746352</v>
      </c>
      <c r="L83" s="28" t="n">
        <f aca="false">L80+L81+L82</f>
        <v>17045.0804360672</v>
      </c>
      <c r="M83" s="28" t="n">
        <f aca="false">M80+M81+M82</f>
        <v>19650.0631575305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71.9288422399999</v>
      </c>
      <c r="C84" s="28" t="n">
        <f aca="false">C77-C83</f>
        <v>386.811292</v>
      </c>
      <c r="D84" s="28" t="n">
        <f aca="false">D77-D83</f>
        <v>592.1609738384</v>
      </c>
      <c r="E84" s="28" t="n">
        <f aca="false">E77-E83</f>
        <v>996.775162636599</v>
      </c>
      <c r="F84" s="28" t="n">
        <f aca="false">F77-F83</f>
        <v>1734.90776634818</v>
      </c>
      <c r="G84" s="28" t="n">
        <f aca="false">G77-G83</f>
        <v>1840.08414644826</v>
      </c>
      <c r="H84" s="28" t="n">
        <f aca="false">H77-H83</f>
        <v>2597.98578971033</v>
      </c>
      <c r="I84" s="28" t="n">
        <f aca="false">I77-I83</f>
        <v>2973.61900231959</v>
      </c>
      <c r="J84" s="28" t="n">
        <f aca="false">J77-J83</f>
        <v>3969.03710848702</v>
      </c>
      <c r="K84" s="28" t="n">
        <f aca="false">K77-K83</f>
        <v>4518.66339743439</v>
      </c>
      <c r="L84" s="28" t="n">
        <f aca="false">L77-L83</f>
        <v>5431.60112786833</v>
      </c>
      <c r="M84" s="28" t="n">
        <f aca="false">M77-M83</f>
        <v>7039.87544064949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0.131017927577413</v>
      </c>
      <c r="C85" s="31" t="n">
        <f aca="false">IFERROR(C84/C77,0)</f>
        <v>0.225463776757741</v>
      </c>
      <c r="D85" s="31" t="n">
        <f aca="false">IFERROR(D84/D77,0)</f>
        <v>0.195423836699918</v>
      </c>
      <c r="E85" s="31" t="n">
        <f aca="false">IFERROR(E84/E77,0)</f>
        <v>0.220750315188945</v>
      </c>
      <c r="F85" s="31" t="n">
        <f aca="false">IFERROR(F84/F77,0)</f>
        <v>0.279928751202252</v>
      </c>
      <c r="G85" s="31" t="n">
        <f aca="false">IFERROR(G84/G77,0)</f>
        <v>0.226969864099946</v>
      </c>
      <c r="H85" s="31" t="n">
        <f aca="false">IFERROR(H84/H77,0)</f>
        <v>0.252756776251844</v>
      </c>
      <c r="I85" s="31" t="n">
        <f aca="false">IFERROR(I84/I77,0)</f>
        <v>0.233191070214435</v>
      </c>
      <c r="J85" s="31" t="n">
        <f aca="false">IFERROR(J84/J77,0)</f>
        <v>0.254869610184407</v>
      </c>
      <c r="K85" s="31" t="n">
        <f aca="false">IFERROR(K84/K77,0)</f>
        <v>0.240428462779979</v>
      </c>
      <c r="L85" s="31" t="n">
        <f aca="false">IFERROR(L84/L77,0)</f>
        <v>0.241654939694634</v>
      </c>
      <c r="M85" s="31" t="n">
        <f aca="false">IFERROR(M84/M77,0)</f>
        <v>0.263765141862468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1080</v>
      </c>
      <c r="C86" s="29" t="n">
        <f aca="false">C27*$B$9</f>
        <v>1242</v>
      </c>
      <c r="D86" s="29" t="n">
        <f aca="false">D27*$B$9</f>
        <v>1428.3</v>
      </c>
      <c r="E86" s="29" t="n">
        <f aca="false">E27*$B$9</f>
        <v>1642.545</v>
      </c>
      <c r="F86" s="29" t="n">
        <f aca="false">F27*$B$9</f>
        <v>1888.92675</v>
      </c>
      <c r="G86" s="29" t="n">
        <f aca="false">G27*$B$9</f>
        <v>2172.2657625</v>
      </c>
      <c r="H86" s="29" t="n">
        <f aca="false">H27*$B$9</f>
        <v>2498.105626875</v>
      </c>
      <c r="I86" s="29" t="n">
        <f aca="false">I27*$B$9</f>
        <v>2872.82147090625</v>
      </c>
      <c r="J86" s="29" t="n">
        <f aca="false">J27*$B$9</f>
        <v>3303.74469154219</v>
      </c>
      <c r="K86" s="29" t="n">
        <f aca="false">K27*$B$9</f>
        <v>3799.30639527351</v>
      </c>
      <c r="L86" s="29" t="n">
        <f aca="false">L27*$B$9</f>
        <v>4369.20235456454</v>
      </c>
      <c r="M86" s="29" t="n">
        <f aca="false">M27*$B$9</f>
        <v>5024.58270774922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1230</v>
      </c>
      <c r="C91" s="28" t="n">
        <f aca="false">C86+C87+C88+C89+C90</f>
        <v>1392</v>
      </c>
      <c r="D91" s="28" t="n">
        <f aca="false">D86+D87+D88+D89+D90</f>
        <v>1578.3</v>
      </c>
      <c r="E91" s="28" t="n">
        <f aca="false">E86+E87+E88+E89+E90</f>
        <v>3292.545</v>
      </c>
      <c r="F91" s="28" t="n">
        <f aca="false">F86+F87+F88+F89+F90</f>
        <v>3538.92675</v>
      </c>
      <c r="G91" s="28" t="n">
        <f aca="false">G86+G87+G88+G89+G90</f>
        <v>3822.2657625</v>
      </c>
      <c r="H91" s="28" t="n">
        <f aca="false">H86+H87+H88+H89+H90</f>
        <v>4148.105626875</v>
      </c>
      <c r="I91" s="28" t="n">
        <f aca="false">I86+I87+I88+I89+I90</f>
        <v>4522.82147090625</v>
      </c>
      <c r="J91" s="28" t="n">
        <f aca="false">J86+J87+J88+J89+J90</f>
        <v>7953.74469154219</v>
      </c>
      <c r="K91" s="28" t="n">
        <f aca="false">K86+K87+K88+K89+K90</f>
        <v>8449.30639527351</v>
      </c>
      <c r="L91" s="28" t="n">
        <f aca="false">L86+L87+L88+L89+L90</f>
        <v>9019.20235456454</v>
      </c>
      <c r="M91" s="28" t="n">
        <f aca="false">M86+M87+M88+M89+M90</f>
        <v>9674.58270774922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-1158.07115776</v>
      </c>
      <c r="C92" s="28" t="n">
        <f aca="false">C84-C91</f>
        <v>-1005.188708</v>
      </c>
      <c r="D92" s="28" t="n">
        <f aca="false">D84-D91</f>
        <v>-986.1390261616</v>
      </c>
      <c r="E92" s="28" t="n">
        <f aca="false">E84-E91</f>
        <v>-2295.7698373634</v>
      </c>
      <c r="F92" s="28" t="n">
        <f aca="false">F84-F91</f>
        <v>-1804.01898365182</v>
      </c>
      <c r="G92" s="28" t="n">
        <f aca="false">G84-G91</f>
        <v>-1982.18161605174</v>
      </c>
      <c r="H92" s="28" t="n">
        <f aca="false">H84-H91</f>
        <v>-1550.11983716467</v>
      </c>
      <c r="I92" s="28" t="n">
        <f aca="false">I84-I91</f>
        <v>-1549.20246858665</v>
      </c>
      <c r="J92" s="28" t="n">
        <f aca="false">J84-J91</f>
        <v>-3984.70758305517</v>
      </c>
      <c r="K92" s="28" t="n">
        <f aca="false">K84-K91</f>
        <v>-3930.64299783913</v>
      </c>
      <c r="L92" s="28" t="n">
        <f aca="false">L84-L91</f>
        <v>-3587.60122669621</v>
      </c>
      <c r="M92" s="28" t="n">
        <f aca="false">M84-M91</f>
        <v>-2634.70726709973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-1158.07115776</v>
      </c>
      <c r="C93" s="30" t="n">
        <f aca="false">B93+C92</f>
        <v>-2163.25986576</v>
      </c>
      <c r="D93" s="30" t="n">
        <f aca="false">C93+D92</f>
        <v>-3149.3988919216</v>
      </c>
      <c r="E93" s="30" t="n">
        <f aca="false">D93+E92</f>
        <v>-5445.168729285</v>
      </c>
      <c r="F93" s="30" t="n">
        <f aca="false">E93+F92</f>
        <v>-7249.18771293682</v>
      </c>
      <c r="G93" s="30" t="n">
        <f aca="false">F93+G92</f>
        <v>-9231.36932898856</v>
      </c>
      <c r="H93" s="30" t="n">
        <f aca="false">G93+H92</f>
        <v>-10781.4891661532</v>
      </c>
      <c r="I93" s="30" t="n">
        <f aca="false">H93+I92</f>
        <v>-12330.6916347399</v>
      </c>
      <c r="J93" s="30" t="n">
        <f aca="false">I93+J92</f>
        <v>-16315.3992177951</v>
      </c>
      <c r="K93" s="30" t="n">
        <f aca="false">J93+K92</f>
        <v>-20246.0422156342</v>
      </c>
      <c r="L93" s="30" t="n">
        <f aca="false">K93+L92</f>
        <v>-23833.6434423304</v>
      </c>
      <c r="M93" s="30" t="n">
        <f aca="false">L93+M92</f>
        <v>-26468.3507094301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13841.92884224</v>
      </c>
      <c r="C94" s="28" t="n">
        <f aca="false">Inputs!$B$49+C93</f>
        <v>12836.74013424</v>
      </c>
      <c r="D94" s="28" t="n">
        <f aca="false">Inputs!$B$49+D93</f>
        <v>11850.6011080784</v>
      </c>
      <c r="E94" s="28" t="n">
        <f aca="false">Inputs!$B$49+E93</f>
        <v>9554.831270715</v>
      </c>
      <c r="F94" s="28" t="n">
        <f aca="false">Inputs!$B$49+F93</f>
        <v>7750.81228706318</v>
      </c>
      <c r="G94" s="28" t="n">
        <f aca="false">Inputs!$B$49+G93</f>
        <v>5768.63067101144</v>
      </c>
      <c r="H94" s="28" t="n">
        <f aca="false">Inputs!$B$49+H93</f>
        <v>4218.51083384677</v>
      </c>
      <c r="I94" s="28" t="n">
        <f aca="false">Inputs!$B$49+I93</f>
        <v>2669.30836526011</v>
      </c>
      <c r="J94" s="28" t="n">
        <f aca="false">Inputs!$B$49+J93</f>
        <v>-1315.39921779505</v>
      </c>
      <c r="K94" s="28" t="n">
        <f aca="false">Inputs!$B$49+K93</f>
        <v>-5246.04221563418</v>
      </c>
      <c r="L94" s="28" t="n">
        <f aca="false">Inputs!$B$49+L93</f>
        <v>-8833.64344233039</v>
      </c>
      <c r="M94" s="28" t="n">
        <f aca="false">Inputs!$B$49+M93</f>
        <v>-11468.3507094301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3841.92884224</v>
      </c>
      <c r="C95" s="30" t="n">
        <f aca="false">Inputs!$B$54+C93</f>
        <v>2836.74013424</v>
      </c>
      <c r="D95" s="30" t="n">
        <f aca="false">Inputs!$B$54+D93</f>
        <v>1850.6011080784</v>
      </c>
      <c r="E95" s="30" t="n">
        <f aca="false">Inputs!$B$54+E93</f>
        <v>-445.168729285</v>
      </c>
      <c r="F95" s="30" t="n">
        <f aca="false">Inputs!$B$54+F93</f>
        <v>-2249.18771293682</v>
      </c>
      <c r="G95" s="30" t="n">
        <f aca="false">Inputs!$B$54+G93</f>
        <v>-4231.36932898856</v>
      </c>
      <c r="H95" s="30" t="n">
        <f aca="false">Inputs!$B$54+H93</f>
        <v>-5781.48916615323</v>
      </c>
      <c r="I95" s="30" t="n">
        <f aca="false">Inputs!$B$54+I93</f>
        <v>-7330.69163473989</v>
      </c>
      <c r="J95" s="30" t="n">
        <f aca="false">Inputs!$B$54+J93</f>
        <v>-11315.3992177951</v>
      </c>
      <c r="K95" s="30" t="n">
        <f aca="false">Inputs!$B$54+K93</f>
        <v>-15246.0422156342</v>
      </c>
      <c r="L95" s="30" t="n">
        <f aca="false">Inputs!$B$54+L93</f>
        <v>-18833.6434423304</v>
      </c>
      <c r="M95" s="30" t="n">
        <f aca="false">Inputs!$B$54+M93</f>
        <v>-21468.3507094301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13841.92884224</v>
      </c>
      <c r="C96" s="29" t="n">
        <f aca="false">Inputs!$B$55+C93</f>
        <v>12836.74013424</v>
      </c>
      <c r="D96" s="29" t="n">
        <f aca="false">Inputs!$B$55+D93</f>
        <v>11850.6011080784</v>
      </c>
      <c r="E96" s="29" t="n">
        <f aca="false">Inputs!$B$55+E93</f>
        <v>9554.831270715</v>
      </c>
      <c r="F96" s="29" t="n">
        <f aca="false">Inputs!$B$55+F93</f>
        <v>7750.81228706318</v>
      </c>
      <c r="G96" s="29" t="n">
        <f aca="false">Inputs!$B$55+G93</f>
        <v>5768.63067101144</v>
      </c>
      <c r="H96" s="29" t="n">
        <f aca="false">Inputs!$B$55+H93</f>
        <v>4218.51083384677</v>
      </c>
      <c r="I96" s="29" t="n">
        <f aca="false">Inputs!$B$55+I93</f>
        <v>2669.30836526011</v>
      </c>
      <c r="J96" s="29" t="n">
        <f aca="false">Inputs!$B$55+J93</f>
        <v>-1315.39921779505</v>
      </c>
      <c r="K96" s="29" t="n">
        <f aca="false">Inputs!$B$55+K93</f>
        <v>-5246.04221563418</v>
      </c>
      <c r="L96" s="29" t="n">
        <f aca="false">Inputs!$B$55+L93</f>
        <v>-8833.64344233039</v>
      </c>
      <c r="M96" s="29" t="n">
        <f aca="false">Inputs!$B$55+M93</f>
        <v>-11468.3507094301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28841.92884224</v>
      </c>
      <c r="C97" s="30" t="n">
        <f aca="false">Inputs!$B$56+C93</f>
        <v>27836.74013424</v>
      </c>
      <c r="D97" s="30" t="n">
        <f aca="false">Inputs!$B$56+D93</f>
        <v>26850.6011080784</v>
      </c>
      <c r="E97" s="30" t="n">
        <f aca="false">Inputs!$B$56+E93</f>
        <v>24554.831270715</v>
      </c>
      <c r="F97" s="30" t="n">
        <f aca="false">Inputs!$B$56+F93</f>
        <v>22750.8122870632</v>
      </c>
      <c r="G97" s="30" t="n">
        <f aca="false">Inputs!$B$56+G93</f>
        <v>20768.6306710114</v>
      </c>
      <c r="H97" s="30" t="n">
        <f aca="false">Inputs!$B$56+H93</f>
        <v>19218.5108338468</v>
      </c>
      <c r="I97" s="30" t="n">
        <f aca="false">Inputs!$B$56+I93</f>
        <v>17669.3083652601</v>
      </c>
      <c r="J97" s="30" t="n">
        <f aca="false">Inputs!$B$56+J93</f>
        <v>13684.6007822049</v>
      </c>
      <c r="K97" s="30" t="n">
        <f aca="false">Inputs!$B$56+K93</f>
        <v>9753.95778436582</v>
      </c>
      <c r="L97" s="30" t="n">
        <f aca="false">Inputs!$B$56+L93</f>
        <v>6166.35655766961</v>
      </c>
      <c r="M97" s="30" t="n">
        <f aca="false">Inputs!$B$56+M93</f>
        <v>3531.64929056988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30.5</v>
      </c>
      <c r="C98" s="29" t="n">
        <f aca="false">IFERROR(C77/C74,0)</f>
        <v>30.5</v>
      </c>
      <c r="D98" s="29" t="n">
        <f aca="false">IFERROR(D77/D74,0)</f>
        <v>30.5</v>
      </c>
      <c r="E98" s="29" t="n">
        <f aca="false">IFERROR(E77/E74,0)</f>
        <v>30.5</v>
      </c>
      <c r="F98" s="29" t="n">
        <f aca="false">IFERROR(F77/F74,0)</f>
        <v>30.5</v>
      </c>
      <c r="G98" s="29" t="n">
        <f aca="false">IFERROR(G77/G74,0)</f>
        <v>30.5</v>
      </c>
      <c r="H98" s="29" t="n">
        <f aca="false">IFERROR(H77/H74,0)</f>
        <v>30.5</v>
      </c>
      <c r="I98" s="29" t="n">
        <f aca="false">IFERROR(I77/I74,0)</f>
        <v>30.5</v>
      </c>
      <c r="J98" s="29" t="n">
        <f aca="false">IFERROR(J77/J74,0)</f>
        <v>30.5</v>
      </c>
      <c r="K98" s="29" t="n">
        <f aca="false">IFERROR(K77/K74,0)</f>
        <v>30.5</v>
      </c>
      <c r="L98" s="29" t="n">
        <f aca="false">IFERROR(L77/L74,0)</f>
        <v>30.5</v>
      </c>
      <c r="M98" s="29" t="n">
        <f aca="false">IFERROR(M77/M74,0)</f>
        <v>30.5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3.66</v>
      </c>
      <c r="C99" s="30" t="n">
        <f aca="false">IFERROR(C77/(C35+C45+C55+C65),0)</f>
        <v>3.73896698267408</v>
      </c>
      <c r="D99" s="30" t="n">
        <f aca="false">IFERROR(D77/(D35+D45+D55+D65),0)</f>
        <v>3.84506469219459</v>
      </c>
      <c r="E99" s="30" t="n">
        <f aca="false">IFERROR(E77/(E35+E45+E55+E65),0)</f>
        <v>3.94975132937731</v>
      </c>
      <c r="F99" s="30" t="n">
        <f aca="false">IFERROR(F77/(F35+F45+F55+F65),0)</f>
        <v>4.04951190677701</v>
      </c>
      <c r="G99" s="30" t="n">
        <f aca="false">IFERROR(G77/(G35+G45+G55+G65),0)</f>
        <v>4.14324235909839</v>
      </c>
      <c r="H99" s="30" t="n">
        <f aca="false">IFERROR(H77/(H35+H45+H55+H65),0)</f>
        <v>4.23048890696299</v>
      </c>
      <c r="I99" s="30" t="n">
        <f aca="false">IFERROR(I77/(I35+I45+I55+I65),0)</f>
        <v>4.3110878369151</v>
      </c>
      <c r="J99" s="30" t="n">
        <f aca="false">IFERROR(J77/(J35+J45+J55+J65),0)</f>
        <v>4.38505042636189</v>
      </c>
      <c r="K99" s="30" t="n">
        <f aca="false">IFERROR(K77/(K35+K45+K55+K65),0)</f>
        <v>4.45251093441017</v>
      </c>
      <c r="L99" s="30" t="n">
        <f aca="false">IFERROR(L77/(L35+L45+L55+L65),0)</f>
        <v>4.51369503647899</v>
      </c>
      <c r="M99" s="30" t="n">
        <f aca="false">IFERROR(M77/(M35+M45+M55+M65),0)</f>
        <v>4.56889636863924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26.5039532088889</v>
      </c>
      <c r="C100" s="29" t="n">
        <f aca="false">IFERROR(C83/C74,0)</f>
        <v>23.6233548088889</v>
      </c>
      <c r="D100" s="29" t="n">
        <f aca="false">IFERROR(D83/D74,0)</f>
        <v>24.5395729806525</v>
      </c>
      <c r="E100" s="29" t="n">
        <f aca="false">IFERROR(E83/E74,0)</f>
        <v>23.7671153867372</v>
      </c>
      <c r="F100" s="29" t="n">
        <f aca="false">IFERROR(F83/F74,0)</f>
        <v>21.9621730883313</v>
      </c>
      <c r="G100" s="29" t="n">
        <f aca="false">IFERROR(G83/G74,0)</f>
        <v>23.5774191449516</v>
      </c>
      <c r="H100" s="29" t="n">
        <f aca="false">IFERROR(H83/H74,0)</f>
        <v>22.7909183243188</v>
      </c>
      <c r="I100" s="29" t="n">
        <f aca="false">IFERROR(I83/I74,0)</f>
        <v>23.3876723584597</v>
      </c>
      <c r="J100" s="29" t="n">
        <f aca="false">IFERROR(J83/J74,0)</f>
        <v>22.7264768893756</v>
      </c>
      <c r="K100" s="29" t="n">
        <f aca="false">IFERROR(K83/K74,0)</f>
        <v>23.1669318852106</v>
      </c>
      <c r="L100" s="29" t="n">
        <f aca="false">IFERROR(L83/L74,0)</f>
        <v>23.1295243393137</v>
      </c>
      <c r="M100" s="29" t="n">
        <f aca="false">IFERROR(M83/M74,0)</f>
        <v>22.4551631731947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3.99604679111111</v>
      </c>
      <c r="C101" s="30" t="n">
        <f aca="false">C98-C100</f>
        <v>6.87664519111111</v>
      </c>
      <c r="D101" s="30" t="n">
        <f aca="false">D98-D100</f>
        <v>5.9604270193475</v>
      </c>
      <c r="E101" s="30" t="n">
        <f aca="false">E98-E100</f>
        <v>6.73288461326283</v>
      </c>
      <c r="F101" s="30" t="n">
        <f aca="false">F98-F100</f>
        <v>8.5378269116687</v>
      </c>
      <c r="G101" s="30" t="n">
        <f aca="false">G98-G100</f>
        <v>6.92258085504835</v>
      </c>
      <c r="H101" s="30" t="n">
        <f aca="false">H98-H100</f>
        <v>7.70908167568125</v>
      </c>
      <c r="I101" s="30" t="n">
        <f aca="false">I98-I100</f>
        <v>7.11232764154027</v>
      </c>
      <c r="J101" s="30" t="n">
        <f aca="false">J98-J100</f>
        <v>7.7735231106244</v>
      </c>
      <c r="K101" s="30" t="n">
        <f aca="false">K98-K100</f>
        <v>7.33306811478937</v>
      </c>
      <c r="L101" s="30" t="n">
        <f aca="false">L98-L100</f>
        <v>7.37047566068633</v>
      </c>
      <c r="M101" s="30" t="n">
        <f aca="false">M98-M100</f>
        <v>8.04483682680527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159.841871644444</v>
      </c>
      <c r="C102" s="32" t="n">
        <f aca="false">IF(C101&gt;0,C101/$B$7,0)</f>
        <v>275.065807644444</v>
      </c>
      <c r="D102" s="32" t="n">
        <f aca="false">IF(D101&gt;0,D101/$B$7,0)</f>
        <v>238.4170807739</v>
      </c>
      <c r="E102" s="32" t="n">
        <f aca="false">IF(E101&gt;0,E101/$B$7,0)</f>
        <v>269.315384530513</v>
      </c>
      <c r="F102" s="32" t="n">
        <f aca="false">IF(F101&gt;0,F101/$B$7,0)</f>
        <v>341.513076466748</v>
      </c>
      <c r="G102" s="32" t="n">
        <f aca="false">IF(G101&gt;0,G101/$B$7,0)</f>
        <v>276.903234201934</v>
      </c>
      <c r="H102" s="32" t="n">
        <f aca="false">IF(H101&gt;0,H101/$B$7,0)</f>
        <v>308.36326702725</v>
      </c>
      <c r="I102" s="32" t="n">
        <f aca="false">IF(I101&gt;0,I101/$B$7,0)</f>
        <v>284.493105661611</v>
      </c>
      <c r="J102" s="32" t="n">
        <f aca="false">IF(J101&gt;0,J101/$B$7,0)</f>
        <v>310.940924424976</v>
      </c>
      <c r="K102" s="32" t="n">
        <f aca="false">IF(K101&gt;0,K101/$B$7,0)</f>
        <v>293.322724591575</v>
      </c>
      <c r="L102" s="32" t="n">
        <f aca="false">IF(L101&gt;0,L101/$B$7,0)</f>
        <v>294.819026427453</v>
      </c>
      <c r="M102" s="32" t="n">
        <f aca="false">IF(M101&gt;0,M101/$B$7,0)</f>
        <v>321.793473072211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5.32806238814814</v>
      </c>
      <c r="C103" s="33" t="n">
        <f aca="false">IF(C101&gt;0,C102/$B$9,0)</f>
        <v>9.16886025481481</v>
      </c>
      <c r="D103" s="33" t="n">
        <f aca="false">IF(D101&gt;0,D102/$B$9,0)</f>
        <v>7.94723602579666</v>
      </c>
      <c r="E103" s="33" t="n">
        <f aca="false">IF(E101&gt;0,E102/$B$9,0)</f>
        <v>8.97717948435044</v>
      </c>
      <c r="F103" s="33" t="n">
        <f aca="false">IF(F101&gt;0,F102/$B$9,0)</f>
        <v>11.3837692155583</v>
      </c>
      <c r="G103" s="33" t="n">
        <f aca="false">IF(G101&gt;0,G102/$B$9,0)</f>
        <v>9.23010780673114</v>
      </c>
      <c r="H103" s="33" t="n">
        <f aca="false">IF(H101&gt;0,H102/$B$9,0)</f>
        <v>10.278775567575</v>
      </c>
      <c r="I103" s="33" t="n">
        <f aca="false">IF(I101&gt;0,I102/$B$9,0)</f>
        <v>9.48310352205369</v>
      </c>
      <c r="J103" s="33" t="n">
        <f aca="false">IF(J101&gt;0,J102/$B$9,0)</f>
        <v>10.3646974808325</v>
      </c>
      <c r="K103" s="33" t="n">
        <f aca="false">IF(K101&gt;0,K102/$B$9,0)</f>
        <v>9.77742415305249</v>
      </c>
      <c r="L103" s="33" t="n">
        <f aca="false">IF(L101&gt;0,L102/$B$9,0)</f>
        <v>9.82730088091511</v>
      </c>
      <c r="M103" s="33" t="n">
        <f aca="false">IF(M101&gt;0,M102/$B$9,0)</f>
        <v>10.726449102407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7.50741959947333</v>
      </c>
      <c r="C104" s="32" t="n">
        <f aca="false">IF(C101&gt;0,$B$9/C101,0)</f>
        <v>4.36259239298526</v>
      </c>
      <c r="D104" s="32" t="n">
        <f aca="false">IF(D101&gt;0,$B$9/D101,0)</f>
        <v>5.03319643082958</v>
      </c>
      <c r="E104" s="32" t="n">
        <f aca="false">IF(E101&gt;0,$B$9/E101,0)</f>
        <v>4.45574248233874</v>
      </c>
      <c r="F104" s="32" t="n">
        <f aca="false">IF(F101&gt;0,$B$9/F101,0)</f>
        <v>3.51377467713697</v>
      </c>
      <c r="G104" s="32" t="n">
        <f aca="false">IF(G101&gt;0,$B$9/G101,0)</f>
        <v>4.33364385742382</v>
      </c>
      <c r="H104" s="32" t="n">
        <f aca="false">IF(H101&gt;0,$B$9/H101,0)</f>
        <v>3.89151409494554</v>
      </c>
      <c r="I104" s="32" t="n">
        <f aca="false">IF(I101&gt;0,$B$9/I101,0)</f>
        <v>4.21802840251368</v>
      </c>
      <c r="J104" s="32" t="n">
        <f aca="false">IF(J101&gt;0,$B$9/J101,0)</f>
        <v>3.85925397957559</v>
      </c>
      <c r="K104" s="32" t="n">
        <f aca="false">IF(K101&gt;0,$B$9/K101,0)</f>
        <v>4.09105704875369</v>
      </c>
      <c r="L104" s="32" t="n">
        <f aca="false">IF(L101&gt;0,$B$9/L101,0)</f>
        <v>4.07029361212305</v>
      </c>
      <c r="M104" s="32" t="n">
        <f aca="false">IF(M101&gt;0,$B$9/M101,0)</f>
        <v>3.72909987434928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7" t="n">
        <v>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18" t="n">
        <v>1</v>
      </c>
      <c r="E17" s="18" t="n">
        <v>60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17" t="n">
        <v>1</v>
      </c>
      <c r="E18" s="17" t="n">
        <v>15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18" t="n">
        <v>3</v>
      </c>
      <c r="E19" s="18" t="n"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17" t="n">
        <v>10</v>
      </c>
      <c r="E20" s="17" t="n"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51336</v>
      </c>
      <c r="C37" s="21" t="n">
        <f aca="false">(C35*$D$17)*DAY(EOMONTH(C$25,0))*1440/$E$17*$B$12</f>
        <v>146556</v>
      </c>
      <c r="D37" s="21" t="n">
        <f aca="false">(D35*$D$17)*DAY(EOMONTH(D$25,0))*1440/$E$17*$B$12</f>
        <v>247311.18</v>
      </c>
      <c r="E37" s="21" t="n">
        <f aca="false">(E35*$D$17)*DAY(EOMONTH(E$25,0))*1440/$E$17*$B$12</f>
        <v>340659.279</v>
      </c>
      <c r="F37" s="21" t="n">
        <f aca="false">(F35*$D$17)*DAY(EOMONTH(F$25,0))*1440/$E$17*$B$12</f>
        <v>391141.611</v>
      </c>
      <c r="G37" s="21" t="n">
        <f aca="false">(G35*$D$17)*DAY(EOMONTH(G$25,0))*1440/$E$17*$B$12</f>
        <v>525930.3735975</v>
      </c>
      <c r="H37" s="21" t="n">
        <f aca="false">(H35*$D$17)*DAY(EOMONTH(H$25,0))*1440/$E$17*$B$12</f>
        <v>600641.43330375</v>
      </c>
      <c r="I37" s="21" t="n">
        <f aca="false">(I35*$D$17)*DAY(EOMONTH(I$25,0))*1440/$E$17*$B$12</f>
        <v>718547.588793394</v>
      </c>
      <c r="J37" s="21" t="n">
        <f aca="false">(J35*$D$17)*DAY(EOMONTH(J$25,0))*1440/$E$17*$B$12</f>
        <v>794369.09677756</v>
      </c>
      <c r="K37" s="21" t="n">
        <f aca="false">(K35*$D$17)*DAY(EOMONTH(K$25,0))*1440/$E$17*$B$12</f>
        <v>928811.734484959</v>
      </c>
      <c r="L37" s="21" t="n">
        <f aca="false">(L35*$D$17)*DAY(EOMONTH(L$25,0))*1440/$E$17*$B$12</f>
        <v>1043689.93990909</v>
      </c>
      <c r="M37" s="21" t="n">
        <f aca="false">(M35*$D$17)*DAY(EOMONTH(M$25,0))*1440/$E$17*$B$12</f>
        <v>1129119.10749608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8.92032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25.48446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42.9736416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59.19412848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68.1238305825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91.3874713692001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104.444871457819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124.857301450551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138.13195960632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161.393522895451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181.355155149794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196.341267025707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10713.6</v>
      </c>
      <c r="C47" s="21" t="n">
        <f aca="false">(C45*$D$18)*DAY(EOMONTH(C$25,0))*1440/$E$18*$B$12</f>
        <v>31726.08</v>
      </c>
      <c r="D47" s="21" t="n">
        <f aca="false">(D45*$D$18)*DAY(EOMONTH(D$25,0))*1440/$E$18*$B$12</f>
        <v>56220.68736</v>
      </c>
      <c r="E47" s="21" t="n">
        <f aca="false">(E45*$D$18)*DAY(EOMONTH(E$25,0))*1440/$E$18*$B$12</f>
        <v>81195.1174656</v>
      </c>
      <c r="F47" s="21" t="n">
        <f aca="false">(F45*$D$18)*DAY(EOMONTH(F$25,0))*1440/$E$18*$B$12</f>
        <v>97451.648114688</v>
      </c>
      <c r="G47" s="21" t="n">
        <f aca="false">(G45*$D$18)*DAY(EOMONTH(G$25,0))*1440/$E$18*$B$12</f>
        <v>136517.321977897</v>
      </c>
      <c r="H47" s="21" t="n">
        <f aca="false">(H45*$D$18)*DAY(EOMONTH(H$25,0))*1440/$E$18*$B$12</f>
        <v>161894.308030046</v>
      </c>
      <c r="I47" s="21" t="n">
        <f aca="false">(I45*$D$18)*DAY(EOMONTH(I$25,0))*1440/$E$18*$B$12</f>
        <v>200456.725017966</v>
      </c>
      <c r="J47" s="21" t="n">
        <f aca="false">(J45*$D$18)*DAY(EOMONTH(J$25,0))*1440/$E$18*$B$12</f>
        <v>228659.791562539</v>
      </c>
      <c r="K47" s="21" t="n">
        <f aca="false">(K45*$D$18)*DAY(EOMONTH(K$25,0))*1440/$E$18*$B$12</f>
        <v>275058.174687152</v>
      </c>
      <c r="L47" s="21" t="n">
        <f aca="false">(L45*$D$18)*DAY(EOMONTH(L$25,0))*1440/$E$18*$B$12</f>
        <v>317106.275302491</v>
      </c>
      <c r="M47" s="21" t="n">
        <f aca="false">(M45*$D$18)*DAY(EOMONTH(M$25,0))*1440/$E$18*$B$12</f>
        <v>351074.994825967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0.864</v>
      </c>
      <c r="C48" s="22" t="n">
        <f aca="false">(C45*$D$18)*Inputs!$B$8*$B$13*Inputs!$B$9*$F$18</f>
        <v>2.64384</v>
      </c>
      <c r="D48" s="22" t="n">
        <f aca="false">(D45*$D$18)*Inputs!$B$8*$B$13*Inputs!$B$9*$F$18</f>
        <v>4.5339264</v>
      </c>
      <c r="E48" s="22" t="n">
        <f aca="false">(E45*$D$18)*Inputs!$B$8*$B$13*Inputs!$B$9*$F$18</f>
        <v>6.547993344</v>
      </c>
      <c r="F48" s="22" t="n">
        <f aca="false">(F45*$D$18)*Inputs!$B$8*$B$13*Inputs!$B$9*$F$18</f>
        <v>8.70104001024</v>
      </c>
      <c r="G48" s="22" t="n">
        <f aca="false">(G45*$D$18)*Inputs!$B$8*$B$13*Inputs!$B$9*$F$18</f>
        <v>11.0094614498304</v>
      </c>
      <c r="H48" s="22" t="n">
        <f aca="false">(H45*$D$18)*Inputs!$B$8*$B$13*Inputs!$B$9*$F$18</f>
        <v>13.4911923358372</v>
      </c>
      <c r="I48" s="22" t="n">
        <f aca="false">(I45*$D$18)*Inputs!$B$8*$B$13*Inputs!$B$9*$F$18</f>
        <v>16.1658649208037</v>
      </c>
      <c r="J48" s="22" t="n">
        <f aca="false">(J45*$D$18)*Inputs!$B$8*$B$13*Inputs!$B$9*$F$18</f>
        <v>19.0549826302116</v>
      </c>
      <c r="K48" s="22" t="n">
        <f aca="false">(K45*$D$18)*Inputs!$B$8*$B$13*Inputs!$B$9*$F$18</f>
        <v>22.1821108618671</v>
      </c>
      <c r="L48" s="22" t="n">
        <f aca="false">(L45*$D$18)*Inputs!$B$8*$B$13*Inputs!$B$9*$F$18</f>
        <v>25.5730867179428</v>
      </c>
      <c r="M48" s="22" t="n">
        <f aca="false">(M45*$D$18)*Inputs!$B$8*$B$13*Inputs!$B$9*$F$18</f>
        <v>29.2562495688305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6.97324032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18.9983342592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32.143175903232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45.9628525202227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58.9652702757569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76.5882095606072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92.7125723616487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112.000595991399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130.552236970275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153.334200758689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176.636991129579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199.961860755077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48211.2</v>
      </c>
      <c r="C57" s="21" t="n">
        <f aca="false">(C55*$D$19)*DAY(EOMONTH(C$25,0))*1440/$E$19*$B$12</f>
        <v>142767.36</v>
      </c>
      <c r="D57" s="21" t="n">
        <f aca="false">(D55*$D$19)*DAY(EOMONTH(D$25,0))*1440/$E$19*$B$12</f>
        <v>252993.09312</v>
      </c>
      <c r="E57" s="21" t="n">
        <f aca="false">(E55*$D$19)*DAY(EOMONTH(E$25,0))*1440/$E$19*$B$12</f>
        <v>365378.0285952</v>
      </c>
      <c r="F57" s="21" t="n">
        <f aca="false">(F55*$D$19)*DAY(EOMONTH(F$25,0))*1440/$E$19*$B$12</f>
        <v>438532.416516096</v>
      </c>
      <c r="G57" s="21" t="n">
        <f aca="false">(G55*$D$19)*DAY(EOMONTH(G$25,0))*1440/$E$19*$B$12</f>
        <v>614327.948900536</v>
      </c>
      <c r="H57" s="21" t="n">
        <f aca="false">(H55*$D$19)*DAY(EOMONTH(H$25,0))*1440/$E$19*$B$12</f>
        <v>728524.386135208</v>
      </c>
      <c r="I57" s="21" t="n">
        <f aca="false">(I55*$D$19)*DAY(EOMONTH(I$25,0))*1440/$E$19*$B$12</f>
        <v>902055.262580846</v>
      </c>
      <c r="J57" s="21" t="n">
        <f aca="false">(J55*$D$19)*DAY(EOMONTH(J$25,0))*1440/$E$19*$B$12</f>
        <v>1028969.06203142</v>
      </c>
      <c r="K57" s="21" t="n">
        <f aca="false">(K55*$D$19)*DAY(EOMONTH(K$25,0))*1440/$E$19*$B$12</f>
        <v>1237761.78609218</v>
      </c>
      <c r="L57" s="21" t="n">
        <f aca="false">(L55*$D$19)*DAY(EOMONTH(L$25,0))*1440/$E$19*$B$12</f>
        <v>1426978.23886121</v>
      </c>
      <c r="M57" s="21" t="n">
        <f aca="false">(M55*$D$19)*DAY(EOMONTH(M$25,0))*1440/$E$19*$B$12</f>
        <v>1579837.47671685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1.296</v>
      </c>
      <c r="C58" s="22" t="n">
        <f aca="false">(C55*$D$19)*Inputs!$B$8*$B$13*Inputs!$B$9*$F$19</f>
        <v>3.96576</v>
      </c>
      <c r="D58" s="22" t="n">
        <f aca="false">(D55*$D$19)*Inputs!$B$8*$B$13*Inputs!$B$9*$F$19</f>
        <v>6.8008896</v>
      </c>
      <c r="E58" s="22" t="n">
        <f aca="false">(E55*$D$19)*Inputs!$B$8*$B$13*Inputs!$B$9*$F$19</f>
        <v>9.821990016</v>
      </c>
      <c r="F58" s="22" t="n">
        <f aca="false">(F55*$D$19)*Inputs!$B$8*$B$13*Inputs!$B$9*$F$19</f>
        <v>13.05156001536</v>
      </c>
      <c r="G58" s="22" t="n">
        <f aca="false">(G55*$D$19)*Inputs!$B$8*$B$13*Inputs!$B$9*$F$19</f>
        <v>16.5141921747456</v>
      </c>
      <c r="H58" s="22" t="n">
        <f aca="false">(H55*$D$19)*Inputs!$B$8*$B$13*Inputs!$B$9*$F$19</f>
        <v>20.2367885037558</v>
      </c>
      <c r="I58" s="22" t="n">
        <f aca="false">(I55*$D$19)*Inputs!$B$8*$B$13*Inputs!$B$9*$F$19</f>
        <v>24.2487973812056</v>
      </c>
      <c r="J58" s="22" t="n">
        <f aca="false">(J55*$D$19)*Inputs!$B$8*$B$13*Inputs!$B$9*$F$19</f>
        <v>28.5824739453173</v>
      </c>
      <c r="K58" s="22" t="n">
        <f aca="false">(K55*$D$19)*Inputs!$B$8*$B$13*Inputs!$B$9*$F$19</f>
        <v>33.2731662928006</v>
      </c>
      <c r="L58" s="22" t="n">
        <f aca="false">(L55*$D$19)*Inputs!$B$8*$B$13*Inputs!$B$9*$F$19</f>
        <v>38.3596300769142</v>
      </c>
      <c r="M58" s="22" t="n">
        <f aca="false">(M55*$D$19)*Inputs!$B$8*$B$13*Inputs!$B$9*$F$19</f>
        <v>43.8843743532458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12.09339648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35.1167781888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61.236507368448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88.2095675293901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109.058402600062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147.965368787657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177.079823907894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217.037315811315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249.910261913095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297.635232895007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343.065992316291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383.460725866369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53568</v>
      </c>
      <c r="C67" s="21" t="n">
        <f aca="false">(C65*$D$20)*DAY(EOMONTH(C$25,0))*1440/$E$20*$B$12</f>
        <v>158630.4</v>
      </c>
      <c r="D67" s="21" t="n">
        <f aca="false">(D65*$D$20)*DAY(EOMONTH(D$25,0))*1440/$E$20*$B$12</f>
        <v>281103.4368</v>
      </c>
      <c r="E67" s="21" t="n">
        <f aca="false">(E65*$D$20)*DAY(EOMONTH(E$25,0))*1440/$E$20*$B$12</f>
        <v>405975.587328</v>
      </c>
      <c r="F67" s="21" t="n">
        <f aca="false">(F65*$D$20)*DAY(EOMONTH(F$25,0))*1440/$E$20*$B$12</f>
        <v>487258.24057344</v>
      </c>
      <c r="G67" s="21" t="n">
        <f aca="false">(G65*$D$20)*DAY(EOMONTH(G$25,0))*1440/$E$20*$B$12</f>
        <v>682586.609889485</v>
      </c>
      <c r="H67" s="21" t="n">
        <f aca="false">(H65*$D$20)*DAY(EOMONTH(H$25,0))*1440/$E$20*$B$12</f>
        <v>809471.540150231</v>
      </c>
      <c r="I67" s="21" t="n">
        <f aca="false">(I65*$D$20)*DAY(EOMONTH(I$25,0))*1440/$E$20*$B$12</f>
        <v>1002283.62508983</v>
      </c>
      <c r="J67" s="21" t="n">
        <f aca="false">(J65*$D$20)*DAY(EOMONTH(J$25,0))*1440/$E$20*$B$12</f>
        <v>1143298.95781269</v>
      </c>
      <c r="K67" s="21" t="n">
        <f aca="false">(K65*$D$20)*DAY(EOMONTH(K$25,0))*1440/$E$20*$B$12</f>
        <v>1375290.87343576</v>
      </c>
      <c r="L67" s="21" t="n">
        <f aca="false">(L65*$D$20)*DAY(EOMONTH(L$25,0))*1440/$E$20*$B$12</f>
        <v>1585531.37651245</v>
      </c>
      <c r="M67" s="21" t="n">
        <f aca="false">(M65*$D$20)*DAY(EOMONTH(M$25,0))*1440/$E$20*$B$12</f>
        <v>1755374.97412983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1.44</v>
      </c>
      <c r="C68" s="22" t="n">
        <f aca="false">(C65*$D$20)*Inputs!$B$8*$B$13*Inputs!$B$9*$F$20</f>
        <v>4.4064</v>
      </c>
      <c r="D68" s="22" t="n">
        <f aca="false">(D65*$D$20)*Inputs!$B$8*$B$13*Inputs!$B$9*$F$20</f>
        <v>7.556544</v>
      </c>
      <c r="E68" s="22" t="n">
        <f aca="false">(E65*$D$20)*Inputs!$B$8*$B$13*Inputs!$B$9*$F$20</f>
        <v>10.91332224</v>
      </c>
      <c r="F68" s="22" t="n">
        <f aca="false">(F65*$D$20)*Inputs!$B$8*$B$13*Inputs!$B$9*$F$20</f>
        <v>14.5017333504</v>
      </c>
      <c r="G68" s="22" t="n">
        <f aca="false">(G65*$D$20)*Inputs!$B$8*$B$13*Inputs!$B$9*$F$20</f>
        <v>18.349102416384</v>
      </c>
      <c r="H68" s="22" t="n">
        <f aca="false">(H65*$D$20)*Inputs!$B$8*$B$13*Inputs!$B$9*$F$20</f>
        <v>22.4853205597287</v>
      </c>
      <c r="I68" s="22" t="n">
        <f aca="false">(I65*$D$20)*Inputs!$B$8*$B$13*Inputs!$B$9*$F$20</f>
        <v>26.9431082013395</v>
      </c>
      <c r="J68" s="22" t="n">
        <f aca="false">(J65*$D$20)*Inputs!$B$8*$B$13*Inputs!$B$9*$F$20</f>
        <v>31.7583043836859</v>
      </c>
      <c r="K68" s="22" t="n">
        <f aca="false">(K65*$D$20)*Inputs!$B$8*$B$13*Inputs!$B$9*$F$20</f>
        <v>36.9701847697785</v>
      </c>
      <c r="L68" s="22" t="n">
        <f aca="false">(L65*$D$20)*Inputs!$B$8*$B$13*Inputs!$B$9*$F$20</f>
        <v>42.6218111965714</v>
      </c>
      <c r="M68" s="22" t="n">
        <f aca="false">(M65*$D$20)*Inputs!$B$8*$B$13*Inputs!$B$9*$F$20</f>
        <v>48.7604159480509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11.9475072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35.300466432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61.95413878272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89.3989890266113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109.863286029822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150.195662078848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179.428364224921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220.465042260094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253.359062643746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302.454694253657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348.667999047187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388.916796051941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163828.8</v>
      </c>
      <c r="C78" s="26" t="n">
        <f aca="false">C37+C47+C57+C67</f>
        <v>479679.84</v>
      </c>
      <c r="D78" s="26" t="n">
        <f aca="false">D37+D47+D57+D67</f>
        <v>837628.39728</v>
      </c>
      <c r="E78" s="26" t="n">
        <f aca="false">E37+E47+E57+E67</f>
        <v>1193208.0123888</v>
      </c>
      <c r="F78" s="26" t="n">
        <f aca="false">F37+F47+F57+F67</f>
        <v>1414383.91620422</v>
      </c>
      <c r="G78" s="26" t="n">
        <f aca="false">G37+G47+G57+G67</f>
        <v>1959362.25436542</v>
      </c>
      <c r="H78" s="26" t="n">
        <f aca="false">H37+H47+H57+H67</f>
        <v>2300531.66761924</v>
      </c>
      <c r="I78" s="26" t="n">
        <f aca="false">I37+I47+I57+I67</f>
        <v>2823343.20148204</v>
      </c>
      <c r="J78" s="26" t="n">
        <f aca="false">J37+J47+J57+J67</f>
        <v>3195296.90818422</v>
      </c>
      <c r="K78" s="26" t="n">
        <f aca="false">K37+K47+K57+K67</f>
        <v>3816922.56870006</v>
      </c>
      <c r="L78" s="26" t="n">
        <f aca="false">L37+L47+L57+L67</f>
        <v>4373305.83058524</v>
      </c>
      <c r="M78" s="26" t="n">
        <f aca="false">M37+M47+M57+M67</f>
        <v>4815406.55316873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3.6</v>
      </c>
      <c r="C79" s="27" t="n">
        <f aca="false">C38+C48+C58+C68</f>
        <v>11.016</v>
      </c>
      <c r="D79" s="27" t="n">
        <f aca="false">D38+D48+D58+D68</f>
        <v>18.89136</v>
      </c>
      <c r="E79" s="27" t="n">
        <f aca="false">E38+E48+E58+E68</f>
        <v>27.2833056</v>
      </c>
      <c r="F79" s="27" t="n">
        <f aca="false">F38+F48+F58+F68</f>
        <v>36.254333376</v>
      </c>
      <c r="G79" s="27" t="n">
        <f aca="false">G38+G48+G58+G68</f>
        <v>45.87275604096</v>
      </c>
      <c r="H79" s="27" t="n">
        <f aca="false">H38+H48+H58+H68</f>
        <v>56.2133013993216</v>
      </c>
      <c r="I79" s="27" t="n">
        <f aca="false">I38+I48+I58+I68</f>
        <v>67.3577705033488</v>
      </c>
      <c r="J79" s="27" t="n">
        <f aca="false">J38+J48+J58+J68</f>
        <v>79.3957609592148</v>
      </c>
      <c r="K79" s="27" t="n">
        <f aca="false">K38+K48+K58+K68</f>
        <v>92.4254619244462</v>
      </c>
      <c r="L79" s="27" t="n">
        <f aca="false">L38+L48+L58+L68</f>
        <v>106.554527991428</v>
      </c>
      <c r="M79" s="27" t="n">
        <f aca="false">M38+M48+M58+M68</f>
        <v>121.901039870127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39.934464</v>
      </c>
      <c r="C80" s="29" t="n">
        <f aca="false">C39+C49+C59+C69</f>
        <v>114.90003888</v>
      </c>
      <c r="D80" s="29" t="n">
        <f aca="false">D39+D49+D59+D69</f>
        <v>198.3074636544</v>
      </c>
      <c r="E80" s="29" t="n">
        <f aca="false">E39+E49+E59+E69</f>
        <v>282.765537556224</v>
      </c>
      <c r="F80" s="29" t="n">
        <f aca="false">F39+F49+F59+F69</f>
        <v>346.010789488141</v>
      </c>
      <c r="G80" s="29" t="n">
        <f aca="false">G39+G49+G59+G69</f>
        <v>466.136711796312</v>
      </c>
      <c r="H80" s="29" t="n">
        <f aca="false">H39+H49+H59+H69</f>
        <v>553.665631952283</v>
      </c>
      <c r="I80" s="29" t="n">
        <f aca="false">I39+I49+I59+I69</f>
        <v>674.360255513359</v>
      </c>
      <c r="J80" s="29" t="n">
        <f aca="false">J39+J49+J59+J69</f>
        <v>771.953521133436</v>
      </c>
      <c r="K80" s="29" t="n">
        <f aca="false">K39+K49+K59+K69</f>
        <v>914.817650802805</v>
      </c>
      <c r="L80" s="29" t="n">
        <f aca="false">L39+L49+L59+L69</f>
        <v>1049.72613764285</v>
      </c>
      <c r="M80" s="29" t="n">
        <f aca="false">M39+M49+M59+M69</f>
        <v>1168.68064969909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100</v>
      </c>
      <c r="G82" s="29" t="n">
        <f aca="false">MAX(0,ROUNDUP((G35*$D$17+G45*$D$18+G55*$D$19+G65*$D$20)/Inputs!$B$40,0)-1)*Inputs!$B$41</f>
        <v>100</v>
      </c>
      <c r="H82" s="29" t="n">
        <f aca="false">MAX(0,ROUNDUP((H35*$D$17+H45*$D$18+H55*$D$19+H65*$D$20)/Inputs!$B$40,0)-1)*Inputs!$B$41</f>
        <v>200</v>
      </c>
      <c r="I82" s="29" t="n">
        <f aca="false">MAX(0,ROUNDUP((I35*$D$17+I45*$D$18+I55*$D$19+I65*$D$20)/Inputs!$B$40,0)-1)*Inputs!$B$41</f>
        <v>200</v>
      </c>
      <c r="J82" s="29" t="n">
        <f aca="false">MAX(0,ROUNDUP((J35*$D$17+J45*$D$18+J55*$D$19+J65*$D$20)/Inputs!$B$40,0)-1)*Inputs!$B$41</f>
        <v>200</v>
      </c>
      <c r="K82" s="29" t="n">
        <f aca="false">MAX(0,ROUNDUP((K35*$D$17+K45*$D$18+K55*$D$19+K65*$D$20)/Inputs!$B$40,0)-1)*Inputs!$B$41</f>
        <v>300</v>
      </c>
      <c r="L82" s="29" t="n">
        <f aca="false">MAX(0,ROUNDUP((L35*$D$17+L45*$D$18+L55*$D$19+L65*$D$20)/Inputs!$B$40,0)-1)*Inputs!$B$41</f>
        <v>300</v>
      </c>
      <c r="M82" s="29" t="n">
        <f aca="false">MAX(0,ROUNDUP((M35*$D$17+M45*$D$18+M55*$D$19+M65*$D$20)/Inputs!$B$40,0)-1)*Inputs!$B$41</f>
        <v>400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139.934464</v>
      </c>
      <c r="C83" s="28" t="n">
        <f aca="false">C80+C81+C82</f>
        <v>214.90003888</v>
      </c>
      <c r="D83" s="28" t="n">
        <f aca="false">D80+D81+D82</f>
        <v>298.3074636544</v>
      </c>
      <c r="E83" s="28" t="n">
        <f aca="false">E80+E81+E82</f>
        <v>482.765537556224</v>
      </c>
      <c r="F83" s="28" t="n">
        <f aca="false">F80+F81+F82</f>
        <v>546.010789488141</v>
      </c>
      <c r="G83" s="28" t="n">
        <f aca="false">G80+G81+G82</f>
        <v>666.136711796312</v>
      </c>
      <c r="H83" s="28" t="n">
        <f aca="false">H80+H81+H82</f>
        <v>853.665631952283</v>
      </c>
      <c r="I83" s="28" t="n">
        <f aca="false">I80+I81+I82</f>
        <v>974.360255513359</v>
      </c>
      <c r="J83" s="28" t="n">
        <f aca="false">J80+J81+J82</f>
        <v>1071.95352113344</v>
      </c>
      <c r="K83" s="28" t="n">
        <f aca="false">K80+K81+K82</f>
        <v>1314.8176508028</v>
      </c>
      <c r="L83" s="28" t="n">
        <f aca="false">L80+L81+L82</f>
        <v>1449.72613764285</v>
      </c>
      <c r="M83" s="28" t="n">
        <f aca="false">M80+M81+M82</f>
        <v>1668.68064969909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4.06553600000001</v>
      </c>
      <c r="C84" s="28" t="n">
        <f aca="false">C77-C83</f>
        <v>225.73996112</v>
      </c>
      <c r="D84" s="28" t="n">
        <f aca="false">D77-D83</f>
        <v>457.3469363456</v>
      </c>
      <c r="E84" s="28" t="n">
        <f aca="false">E77-E83</f>
        <v>608.566686443776</v>
      </c>
      <c r="F84" s="28" t="n">
        <f aca="false">F77-F83</f>
        <v>904.162545551859</v>
      </c>
      <c r="G84" s="28" t="n">
        <f aca="false">G77-G83</f>
        <v>1168.77352984209</v>
      </c>
      <c r="H84" s="28" t="n">
        <f aca="false">H77-H83</f>
        <v>1394.86642402058</v>
      </c>
      <c r="I84" s="28" t="n">
        <f aca="false">I77-I83</f>
        <v>1719.95056462059</v>
      </c>
      <c r="J84" s="28" t="n">
        <f aca="false">J77-J83</f>
        <v>2103.87691723516</v>
      </c>
      <c r="K84" s="28" t="n">
        <f aca="false">K77-K83</f>
        <v>2382.20082617504</v>
      </c>
      <c r="L84" s="28" t="n">
        <f aca="false">L77-L83</f>
        <v>2812.45498201429</v>
      </c>
      <c r="M84" s="28" t="n">
        <f aca="false">M77-M83</f>
        <v>3207.360945106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0.028232888888889</v>
      </c>
      <c r="C85" s="31" t="n">
        <f aca="false">IFERROR(C84/C77,0)</f>
        <v>0.512300202251271</v>
      </c>
      <c r="D85" s="31" t="n">
        <f aca="false">IFERROR(D84/D77,0)</f>
        <v>0.605232942924173</v>
      </c>
      <c r="E85" s="31" t="n">
        <f aca="false">IFERROR(E84/E77,0)</f>
        <v>0.557636504320591</v>
      </c>
      <c r="F85" s="31" t="n">
        <f aca="false">IFERROR(F84/F77,0)</f>
        <v>0.623485843867705</v>
      </c>
      <c r="G85" s="31" t="n">
        <f aca="false">IFERROR(G84/G77,0)</f>
        <v>0.636964960639429</v>
      </c>
      <c r="H85" s="31" t="n">
        <f aca="false">IFERROR(H84/H77,0)</f>
        <v>0.620345358348503</v>
      </c>
      <c r="I85" s="31" t="n">
        <f aca="false">IFERROR(I84/I77,0)</f>
        <v>0.63836382638848</v>
      </c>
      <c r="J85" s="31" t="n">
        <f aca="false">IFERROR(J84/J77,0)</f>
        <v>0.662465127803205</v>
      </c>
      <c r="K85" s="31" t="n">
        <f aca="false">IFERROR(K84/K77,0)</f>
        <v>0.644357295212219</v>
      </c>
      <c r="L85" s="31" t="n">
        <f aca="false">IFERROR(L84/L77,0)</f>
        <v>0.65986285027712</v>
      </c>
      <c r="M85" s="31" t="n">
        <f aca="false">IFERROR(M84/M77,0)</f>
        <v>0.657779652356351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0</v>
      </c>
      <c r="K88" s="29" t="n">
        <f aca="false">IF(COLUMN()-1&gt;=Inputs!$B$46,$B$10,0)</f>
        <v>0</v>
      </c>
      <c r="L88" s="29" t="n">
        <f aca="false">IF(COLUMN()-1&gt;=Inputs!$B$46,$B$10,0)</f>
        <v>0</v>
      </c>
      <c r="M88" s="29" t="n">
        <f aca="false">IF(COLUMN()-1&gt;=Inputs!$B$46,$B$10,0)</f>
        <v>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2678.9226288</v>
      </c>
      <c r="K91" s="28" t="n">
        <f aca="false">K86+K87+K88+K89+K90</f>
        <v>2781.81489168</v>
      </c>
      <c r="L91" s="28" t="n">
        <f aca="false">L86+L87+L88+L89+L90</f>
        <v>2894.996380848</v>
      </c>
      <c r="M91" s="28" t="n">
        <f aca="false">M86+M87+M88+M89+M90</f>
        <v>3019.4960189328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-625.934464</v>
      </c>
      <c r="C92" s="28" t="n">
        <f aca="false">C84-C91</f>
        <v>-452.26003888</v>
      </c>
      <c r="D92" s="28" t="n">
        <f aca="false">D84-D91</f>
        <v>-273.4530636544</v>
      </c>
      <c r="E92" s="28" t="n">
        <f aca="false">E84-E91</f>
        <v>-1680.31331355622</v>
      </c>
      <c r="F92" s="28" t="n">
        <f aca="false">F84-F91</f>
        <v>-1448.60545444814</v>
      </c>
      <c r="G92" s="28" t="n">
        <f aca="false">G84-G91</f>
        <v>-1254.27127015791</v>
      </c>
      <c r="H92" s="28" t="n">
        <f aca="false">H84-H91</f>
        <v>-1105.48285597942</v>
      </c>
      <c r="I92" s="28" t="n">
        <f aca="false">I84-I91</f>
        <v>-865.433643379409</v>
      </c>
      <c r="J92" s="28" t="n">
        <f aca="false">J84-J91</f>
        <v>-575.045711564844</v>
      </c>
      <c r="K92" s="28" t="n">
        <f aca="false">K84-K91</f>
        <v>-399.614065504957</v>
      </c>
      <c r="L92" s="28" t="n">
        <f aca="false">L84-L91</f>
        <v>-82.541398833715</v>
      </c>
      <c r="M92" s="28" t="n">
        <f aca="false">M84-M91</f>
        <v>187.864926173196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-625.934464</v>
      </c>
      <c r="C93" s="30" t="n">
        <f aca="false">B93+C92</f>
        <v>-1078.19450288</v>
      </c>
      <c r="D93" s="30" t="n">
        <f aca="false">C93+D92</f>
        <v>-1351.6475665344</v>
      </c>
      <c r="E93" s="30" t="n">
        <f aca="false">D93+E92</f>
        <v>-3031.96088009062</v>
      </c>
      <c r="F93" s="30" t="n">
        <f aca="false">E93+F92</f>
        <v>-4480.56633453877</v>
      </c>
      <c r="G93" s="30" t="n">
        <f aca="false">F93+G92</f>
        <v>-5734.83760469668</v>
      </c>
      <c r="H93" s="30" t="n">
        <f aca="false">G93+H92</f>
        <v>-6840.3204606761</v>
      </c>
      <c r="I93" s="30" t="n">
        <f aca="false">H93+I92</f>
        <v>-7705.75410405551</v>
      </c>
      <c r="J93" s="30" t="n">
        <f aca="false">I93+J92</f>
        <v>-8280.79981562035</v>
      </c>
      <c r="K93" s="30" t="n">
        <f aca="false">J93+K92</f>
        <v>-8680.41388112531</v>
      </c>
      <c r="L93" s="30" t="n">
        <f aca="false">K93+L92</f>
        <v>-8762.95527995902</v>
      </c>
      <c r="M93" s="30" t="n">
        <f aca="false">L93+M92</f>
        <v>-8575.09035378583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14374.065536</v>
      </c>
      <c r="C94" s="28" t="n">
        <f aca="false">Inputs!$B$49+C93</f>
        <v>13921.80549712</v>
      </c>
      <c r="D94" s="28" t="n">
        <f aca="false">Inputs!$B$49+D93</f>
        <v>13648.3524334656</v>
      </c>
      <c r="E94" s="28" t="n">
        <f aca="false">Inputs!$B$49+E93</f>
        <v>11968.0391199094</v>
      </c>
      <c r="F94" s="28" t="n">
        <f aca="false">Inputs!$B$49+F93</f>
        <v>10519.4336654612</v>
      </c>
      <c r="G94" s="28" t="n">
        <f aca="false">Inputs!$B$49+G93</f>
        <v>9265.16239530332</v>
      </c>
      <c r="H94" s="28" t="n">
        <f aca="false">Inputs!$B$49+H93</f>
        <v>8159.6795393239</v>
      </c>
      <c r="I94" s="28" t="n">
        <f aca="false">Inputs!$B$49+I93</f>
        <v>7294.2458959445</v>
      </c>
      <c r="J94" s="28" t="n">
        <f aca="false">Inputs!$B$49+J93</f>
        <v>6719.20018437965</v>
      </c>
      <c r="K94" s="28" t="n">
        <f aca="false">Inputs!$B$49+K93</f>
        <v>6319.58611887469</v>
      </c>
      <c r="L94" s="28" t="n">
        <f aca="false">Inputs!$B$49+L93</f>
        <v>6237.04472004098</v>
      </c>
      <c r="M94" s="28" t="n">
        <f aca="false">Inputs!$B$49+M93</f>
        <v>6424.90964621418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4374.065536</v>
      </c>
      <c r="C95" s="30" t="n">
        <f aca="false">Inputs!$B$54+C93</f>
        <v>3921.80549712</v>
      </c>
      <c r="D95" s="30" t="n">
        <f aca="false">Inputs!$B$54+D93</f>
        <v>3648.3524334656</v>
      </c>
      <c r="E95" s="30" t="n">
        <f aca="false">Inputs!$B$54+E93</f>
        <v>1968.03911990938</v>
      </c>
      <c r="F95" s="30" t="n">
        <f aca="false">Inputs!$B$54+F93</f>
        <v>519.433665461235</v>
      </c>
      <c r="G95" s="30" t="n">
        <f aca="false">Inputs!$B$54+G93</f>
        <v>-734.837604696677</v>
      </c>
      <c r="H95" s="30" t="n">
        <f aca="false">Inputs!$B$54+H93</f>
        <v>-1840.3204606761</v>
      </c>
      <c r="I95" s="30" t="n">
        <f aca="false">Inputs!$B$54+I93</f>
        <v>-2705.75410405551</v>
      </c>
      <c r="J95" s="30" t="n">
        <f aca="false">Inputs!$B$54+J93</f>
        <v>-3280.79981562035</v>
      </c>
      <c r="K95" s="30" t="n">
        <f aca="false">Inputs!$B$54+K93</f>
        <v>-3680.41388112531</v>
      </c>
      <c r="L95" s="30" t="n">
        <f aca="false">Inputs!$B$54+L93</f>
        <v>-3762.95527995902</v>
      </c>
      <c r="M95" s="30" t="n">
        <f aca="false">Inputs!$B$54+M93</f>
        <v>-3575.09035378583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14374.065536</v>
      </c>
      <c r="C96" s="29" t="n">
        <f aca="false">Inputs!$B$55+C93</f>
        <v>13921.80549712</v>
      </c>
      <c r="D96" s="29" t="n">
        <f aca="false">Inputs!$B$55+D93</f>
        <v>13648.3524334656</v>
      </c>
      <c r="E96" s="29" t="n">
        <f aca="false">Inputs!$B$55+E93</f>
        <v>11968.0391199094</v>
      </c>
      <c r="F96" s="29" t="n">
        <f aca="false">Inputs!$B$55+F93</f>
        <v>10519.4336654612</v>
      </c>
      <c r="G96" s="29" t="n">
        <f aca="false">Inputs!$B$55+G93</f>
        <v>9265.16239530332</v>
      </c>
      <c r="H96" s="29" t="n">
        <f aca="false">Inputs!$B$55+H93</f>
        <v>8159.6795393239</v>
      </c>
      <c r="I96" s="29" t="n">
        <f aca="false">Inputs!$B$55+I93</f>
        <v>7294.2458959445</v>
      </c>
      <c r="J96" s="29" t="n">
        <f aca="false">Inputs!$B$55+J93</f>
        <v>6719.20018437965</v>
      </c>
      <c r="K96" s="29" t="n">
        <f aca="false">Inputs!$B$55+K93</f>
        <v>6319.58611887469</v>
      </c>
      <c r="L96" s="29" t="n">
        <f aca="false">Inputs!$B$55+L93</f>
        <v>6237.04472004098</v>
      </c>
      <c r="M96" s="29" t="n">
        <f aca="false">Inputs!$B$55+M93</f>
        <v>6424.90964621418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29374.065536</v>
      </c>
      <c r="C97" s="30" t="n">
        <f aca="false">Inputs!$B$56+C93</f>
        <v>28921.80549712</v>
      </c>
      <c r="D97" s="30" t="n">
        <f aca="false">Inputs!$B$56+D93</f>
        <v>28648.3524334656</v>
      </c>
      <c r="E97" s="30" t="n">
        <f aca="false">Inputs!$B$56+E93</f>
        <v>26968.0391199094</v>
      </c>
      <c r="F97" s="30" t="n">
        <f aca="false">Inputs!$B$56+F93</f>
        <v>25519.4336654612</v>
      </c>
      <c r="G97" s="30" t="n">
        <f aca="false">Inputs!$B$56+G93</f>
        <v>24265.1623953033</v>
      </c>
      <c r="H97" s="30" t="n">
        <f aca="false">Inputs!$B$56+H93</f>
        <v>23159.6795393239</v>
      </c>
      <c r="I97" s="30" t="n">
        <f aca="false">Inputs!$B$56+I93</f>
        <v>22294.2458959445</v>
      </c>
      <c r="J97" s="30" t="n">
        <f aca="false">Inputs!$B$56+J93</f>
        <v>21719.2001843797</v>
      </c>
      <c r="K97" s="30" t="n">
        <f aca="false">Inputs!$B$56+K93</f>
        <v>21319.5861188747</v>
      </c>
      <c r="L97" s="30" t="n">
        <f aca="false">Inputs!$B$56+L93</f>
        <v>21237.044720041</v>
      </c>
      <c r="M97" s="30" t="n">
        <f aca="false">Inputs!$B$56+M93</f>
        <v>21424.9096462142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23.3224106666667</v>
      </c>
      <c r="C100" s="29" t="n">
        <f aca="false">IFERROR(C83/C74,0)</f>
        <v>11.7047951459695</v>
      </c>
      <c r="D100" s="29" t="n">
        <f aca="false">IFERROR(D83/D74,0)</f>
        <v>9.47440936981986</v>
      </c>
      <c r="E100" s="29" t="n">
        <f aca="false">IFERROR(E83/E74,0)</f>
        <v>10.6167238963058</v>
      </c>
      <c r="F100" s="29" t="n">
        <f aca="false">IFERROR(F83/F74,0)</f>
        <v>9.03633974717507</v>
      </c>
      <c r="G100" s="29" t="n">
        <f aca="false">IFERROR(G83/G74,0)</f>
        <v>8.71284094465372</v>
      </c>
      <c r="H100" s="29" t="n">
        <f aca="false">IFERROR(H83/H74,0)</f>
        <v>9.11171139963594</v>
      </c>
      <c r="I100" s="29" t="n">
        <f aca="false">IFERROR(I83/I74,0)</f>
        <v>8.67926816667649</v>
      </c>
      <c r="J100" s="29" t="n">
        <f aca="false">IFERROR(J83/J74,0)</f>
        <v>8.10083693272309</v>
      </c>
      <c r="K100" s="29" t="n">
        <f aca="false">IFERROR(K83/K74,0)</f>
        <v>8.53542491490674</v>
      </c>
      <c r="L100" s="29" t="n">
        <f aca="false">IFERROR(L83/L74,0)</f>
        <v>8.16329159334911</v>
      </c>
      <c r="M100" s="29" t="n">
        <f aca="false">IFERROR(M83/M74,0)</f>
        <v>8.21328834344759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0.677589333333334</v>
      </c>
      <c r="C101" s="30" t="n">
        <f aca="false">C98-C100</f>
        <v>12.2952048540305</v>
      </c>
      <c r="D101" s="30" t="n">
        <f aca="false">D98-D100</f>
        <v>14.5255906301802</v>
      </c>
      <c r="E101" s="30" t="n">
        <f aca="false">E98-E100</f>
        <v>13.3832761036942</v>
      </c>
      <c r="F101" s="30" t="n">
        <f aca="false">F98-F100</f>
        <v>14.9636602528249</v>
      </c>
      <c r="G101" s="30" t="n">
        <f aca="false">G98-G100</f>
        <v>15.2871590553463</v>
      </c>
      <c r="H101" s="30" t="n">
        <f aca="false">H98-H100</f>
        <v>14.8882886003641</v>
      </c>
      <c r="I101" s="30" t="n">
        <f aca="false">I98-I100</f>
        <v>15.3207318333235</v>
      </c>
      <c r="J101" s="30" t="n">
        <f aca="false">J98-J100</f>
        <v>15.8991630672769</v>
      </c>
      <c r="K101" s="30" t="n">
        <f aca="false">K98-K100</f>
        <v>15.4645750850933</v>
      </c>
      <c r="L101" s="30" t="n">
        <f aca="false">L98-L100</f>
        <v>15.8367084066509</v>
      </c>
      <c r="M101" s="30" t="n">
        <f aca="false">M98-M100</f>
        <v>15.7867116565524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16.9397333333333</v>
      </c>
      <c r="C102" s="32" t="n">
        <f aca="false">IF(C101&gt;0,C101/$B$7,0)</f>
        <v>307.380121350762</v>
      </c>
      <c r="D102" s="32" t="n">
        <f aca="false">IF(D101&gt;0,D101/$B$7,0)</f>
        <v>363.139765754504</v>
      </c>
      <c r="E102" s="32" t="n">
        <f aca="false">IF(E101&gt;0,E101/$B$7,0)</f>
        <v>334.581902592355</v>
      </c>
      <c r="F102" s="32" t="n">
        <f aca="false">IF(F101&gt;0,F101/$B$7,0)</f>
        <v>374.091506320623</v>
      </c>
      <c r="G102" s="32" t="n">
        <f aca="false">IF(G101&gt;0,G101/$B$7,0)</f>
        <v>382.178976383657</v>
      </c>
      <c r="H102" s="32" t="n">
        <f aca="false">IF(H101&gt;0,H101/$B$7,0)</f>
        <v>372.207215009101</v>
      </c>
      <c r="I102" s="32" t="n">
        <f aca="false">IF(I101&gt;0,I101/$B$7,0)</f>
        <v>383.018295833088</v>
      </c>
      <c r="J102" s="32" t="n">
        <f aca="false">IF(J101&gt;0,J101/$B$7,0)</f>
        <v>397.479076681923</v>
      </c>
      <c r="K102" s="32" t="n">
        <f aca="false">IF(K101&gt;0,K101/$B$7,0)</f>
        <v>386.614377127331</v>
      </c>
      <c r="L102" s="32" t="n">
        <f aca="false">IF(L101&gt;0,L101/$B$7,0)</f>
        <v>395.917710166272</v>
      </c>
      <c r="M102" s="32" t="n">
        <f aca="false">IF(M101&gt;0,M101/$B$7,0)</f>
        <v>394.66779141381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0.423493333333334</v>
      </c>
      <c r="C103" s="33" t="n">
        <f aca="false">IF(C101&gt;0,C102/$B$9,0)</f>
        <v>7.68450303376906</v>
      </c>
      <c r="D103" s="33" t="n">
        <f aca="false">IF(D101&gt;0,D102/$B$9,0)</f>
        <v>9.07849414386259</v>
      </c>
      <c r="E103" s="33" t="n">
        <f aca="false">IF(E101&gt;0,E102/$B$9,0)</f>
        <v>8.36454756480887</v>
      </c>
      <c r="F103" s="33" t="n">
        <f aca="false">IF(F101&gt;0,F102/$B$9,0)</f>
        <v>9.35228765801558</v>
      </c>
      <c r="G103" s="33" t="n">
        <f aca="false">IF(G101&gt;0,G102/$B$9,0)</f>
        <v>9.55447440959143</v>
      </c>
      <c r="H103" s="33" t="n">
        <f aca="false">IF(H101&gt;0,H102/$B$9,0)</f>
        <v>9.30518037522754</v>
      </c>
      <c r="I103" s="33" t="n">
        <f aca="false">IF(I101&gt;0,I102/$B$9,0)</f>
        <v>9.57545739582719</v>
      </c>
      <c r="J103" s="33" t="n">
        <f aca="false">IF(J101&gt;0,J102/$B$9,0)</f>
        <v>9.93697691704807</v>
      </c>
      <c r="K103" s="33" t="n">
        <f aca="false">IF(K101&gt;0,K102/$B$9,0)</f>
        <v>9.66535942818329</v>
      </c>
      <c r="L103" s="33" t="n">
        <f aca="false">IF(L101&gt;0,L102/$B$9,0)</f>
        <v>9.8979427541568</v>
      </c>
      <c r="M103" s="33" t="n">
        <f aca="false">IF(M101&gt;0,M102/$B$9,0)</f>
        <v>9.86669478534526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59.0328064983313</v>
      </c>
      <c r="C104" s="32" t="n">
        <f aca="false">IF(C101&gt;0,$B$9/C101,0)</f>
        <v>3.25330081726028</v>
      </c>
      <c r="D104" s="32" t="n">
        <f aca="false">IF(D101&gt;0,$B$9/D101,0)</f>
        <v>2.75376065720117</v>
      </c>
      <c r="E104" s="32" t="n">
        <f aca="false">IF(E101&gt;0,$B$9/E101,0)</f>
        <v>2.9888048105769</v>
      </c>
      <c r="F104" s="32" t="n">
        <f aca="false">IF(F101&gt;0,$B$9/F101,0)</f>
        <v>2.67314275545975</v>
      </c>
      <c r="G104" s="32" t="n">
        <f aca="false">IF(G101&gt;0,$B$9/G101,0)</f>
        <v>2.61657511740293</v>
      </c>
      <c r="H104" s="32" t="n">
        <f aca="false">IF(H101&gt;0,$B$9/H101,0)</f>
        <v>2.68667548525503</v>
      </c>
      <c r="I104" s="32" t="n">
        <f aca="false">IF(I101&gt;0,$B$9/I101,0)</f>
        <v>2.61084133807483</v>
      </c>
      <c r="J104" s="32" t="n">
        <f aca="false">IF(J101&gt;0,$B$9/J101,0)</f>
        <v>2.51585569823651</v>
      </c>
      <c r="K104" s="32" t="n">
        <f aca="false">IF(K101&gt;0,$B$9/K101,0)</f>
        <v>2.58655668066542</v>
      </c>
      <c r="L104" s="32" t="n">
        <f aca="false">IF(L101&gt;0,$B$9/L101,0)</f>
        <v>2.52577738838718</v>
      </c>
      <c r="M104" s="32" t="n">
        <f aca="false">IF(M101&gt;0,$B$9/M101,0)</f>
        <v>2.53377656285992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18" t="n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205344</v>
      </c>
      <c r="C37" s="21" t="n">
        <f aca="false">(C35*$D$17)*DAY(EOMONTH(C$25,0))*1440/$E$17*$B$12</f>
        <v>586224</v>
      </c>
      <c r="D37" s="21" t="n">
        <f aca="false">(D35*$D$17)*DAY(EOMONTH(D$25,0))*1440/$E$17*$B$12</f>
        <v>989244.72</v>
      </c>
      <c r="E37" s="21" t="n">
        <f aca="false">(E35*$D$17)*DAY(EOMONTH(E$25,0))*1440/$E$17*$B$12</f>
        <v>1362637.116</v>
      </c>
      <c r="F37" s="21" t="n">
        <f aca="false">(F35*$D$17)*DAY(EOMONTH(F$25,0))*1440/$E$17*$B$12</f>
        <v>1564566.444</v>
      </c>
      <c r="G37" s="21" t="n">
        <f aca="false">(G35*$D$17)*DAY(EOMONTH(G$25,0))*1440/$E$17*$B$12</f>
        <v>2103721.49439</v>
      </c>
      <c r="H37" s="21" t="n">
        <f aca="false">(H35*$D$17)*DAY(EOMONTH(H$25,0))*1440/$E$17*$B$12</f>
        <v>2402565.733215</v>
      </c>
      <c r="I37" s="21" t="n">
        <f aca="false">(I35*$D$17)*DAY(EOMONTH(I$25,0))*1440/$E$17*$B$12</f>
        <v>2874190.35517358</v>
      </c>
      <c r="J37" s="21" t="n">
        <f aca="false">(J35*$D$17)*DAY(EOMONTH(J$25,0))*1440/$E$17*$B$12</f>
        <v>3177476.38711024</v>
      </c>
      <c r="K37" s="21" t="n">
        <f aca="false">(K35*$D$17)*DAY(EOMONTH(K$25,0))*1440/$E$17*$B$12</f>
        <v>3715246.93793984</v>
      </c>
      <c r="L37" s="21" t="n">
        <f aca="false">(L35*$D$17)*DAY(EOMONTH(L$25,0))*1440/$E$17*$B$12</f>
        <v>4174759.75963634</v>
      </c>
      <c r="M37" s="21" t="n">
        <f aca="false">(M35*$D$17)*DAY(EOMONTH(M$25,0))*1440/$E$17*$B$12</f>
        <v>4516476.42998431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35.10168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100.22802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169.1023434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232.93036077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267.6060521925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359.611961903925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410.772002442732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491.316571735182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543.260198962876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635.087507482781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713.637024503428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772.192011848706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96422.4</v>
      </c>
      <c r="C47" s="21" t="n">
        <f aca="false">(C45*$D$18)*DAY(EOMONTH(C$25,0))*1440/$E$18*$B$12</f>
        <v>285534.72</v>
      </c>
      <c r="D47" s="21" t="n">
        <f aca="false">(D45*$D$18)*DAY(EOMONTH(D$25,0))*1440/$E$18*$B$12</f>
        <v>505986.18624</v>
      </c>
      <c r="E47" s="21" t="n">
        <f aca="false">(E45*$D$18)*DAY(EOMONTH(E$25,0))*1440/$E$18*$B$12</f>
        <v>730756.0571904</v>
      </c>
      <c r="F47" s="21" t="n">
        <f aca="false">(F45*$D$18)*DAY(EOMONTH(F$25,0))*1440/$E$18*$B$12</f>
        <v>877064.833032192</v>
      </c>
      <c r="G47" s="21" t="n">
        <f aca="false">(G45*$D$18)*DAY(EOMONTH(G$25,0))*1440/$E$18*$B$12</f>
        <v>1228655.89780107</v>
      </c>
      <c r="H47" s="21" t="n">
        <f aca="false">(H45*$D$18)*DAY(EOMONTH(H$25,0))*1440/$E$18*$B$12</f>
        <v>1457048.77227042</v>
      </c>
      <c r="I47" s="21" t="n">
        <f aca="false">(I45*$D$18)*DAY(EOMONTH(I$25,0))*1440/$E$18*$B$12</f>
        <v>1804110.52516169</v>
      </c>
      <c r="J47" s="21" t="n">
        <f aca="false">(J45*$D$18)*DAY(EOMONTH(J$25,0))*1440/$E$18*$B$12</f>
        <v>2057938.12406285</v>
      </c>
      <c r="K47" s="21" t="n">
        <f aca="false">(K45*$D$18)*DAY(EOMONTH(K$25,0))*1440/$E$18*$B$12</f>
        <v>2475523.57218437</v>
      </c>
      <c r="L47" s="21" t="n">
        <f aca="false">(L45*$D$18)*DAY(EOMONTH(L$25,0))*1440/$E$18*$B$12</f>
        <v>2853956.47772242</v>
      </c>
      <c r="M47" s="21" t="n">
        <f aca="false">(M45*$D$18)*DAY(EOMONTH(M$25,0))*1440/$E$18*$B$12</f>
        <v>3159674.9534337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2.592</v>
      </c>
      <c r="C48" s="22" t="n">
        <f aca="false">(C45*$D$18)*Inputs!$B$8*$B$13*Inputs!$B$9*$F$18</f>
        <v>7.93152</v>
      </c>
      <c r="D48" s="22" t="n">
        <f aca="false">(D45*$D$18)*Inputs!$B$8*$B$13*Inputs!$B$9*$F$18</f>
        <v>13.6017792</v>
      </c>
      <c r="E48" s="22" t="n">
        <f aca="false">(E45*$D$18)*Inputs!$B$8*$B$13*Inputs!$B$9*$F$18</f>
        <v>19.643980032</v>
      </c>
      <c r="F48" s="22" t="n">
        <f aca="false">(F45*$D$18)*Inputs!$B$8*$B$13*Inputs!$B$9*$F$18</f>
        <v>26.10312003072</v>
      </c>
      <c r="G48" s="22" t="n">
        <f aca="false">(G45*$D$18)*Inputs!$B$8*$B$13*Inputs!$B$9*$F$18</f>
        <v>33.0283843494912</v>
      </c>
      <c r="H48" s="22" t="n">
        <f aca="false">(H45*$D$18)*Inputs!$B$8*$B$13*Inputs!$B$9*$F$18</f>
        <v>40.4735770075116</v>
      </c>
      <c r="I48" s="22" t="n">
        <f aca="false">(I45*$D$18)*Inputs!$B$8*$B$13*Inputs!$B$9*$F$18</f>
        <v>48.4975947624111</v>
      </c>
      <c r="J48" s="22" t="n">
        <f aca="false">(J45*$D$18)*Inputs!$B$8*$B$13*Inputs!$B$9*$F$18</f>
        <v>57.1649478906347</v>
      </c>
      <c r="K48" s="22" t="n">
        <f aca="false">(K45*$D$18)*Inputs!$B$8*$B$13*Inputs!$B$9*$F$18</f>
        <v>66.5463325856013</v>
      </c>
      <c r="L48" s="22" t="n">
        <f aca="false">(L45*$D$18)*Inputs!$B$8*$B$13*Inputs!$B$9*$F$18</f>
        <v>76.7192601538285</v>
      </c>
      <c r="M48" s="22" t="n">
        <f aca="false">(M45*$D$18)*Inputs!$B$8*$B$13*Inputs!$B$9*$F$18</f>
        <v>87.7687487064916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21.61003392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62.3486737152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108.951213998592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156.890661629368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192.167171515185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263.096560125797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313.924055441082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385.862202717423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442.991705829153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529.115425640017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609.863833728457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679.66878326864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160704</v>
      </c>
      <c r="C57" s="21" t="n">
        <f aca="false">(C55*$D$19)*DAY(EOMONTH(C$25,0))*1440/$E$19*$B$12</f>
        <v>475891.2</v>
      </c>
      <c r="D57" s="21" t="n">
        <f aca="false">(D55*$D$19)*DAY(EOMONTH(D$25,0))*1440/$E$19*$B$12</f>
        <v>843310.3104</v>
      </c>
      <c r="E57" s="21" t="n">
        <f aca="false">(E55*$D$19)*DAY(EOMONTH(E$25,0))*1440/$E$19*$B$12</f>
        <v>1217926.761984</v>
      </c>
      <c r="F57" s="21" t="n">
        <f aca="false">(F55*$D$19)*DAY(EOMONTH(F$25,0))*1440/$E$19*$B$12</f>
        <v>1461774.72172032</v>
      </c>
      <c r="G57" s="21" t="n">
        <f aca="false">(G55*$D$19)*DAY(EOMONTH(G$25,0))*1440/$E$19*$B$12</f>
        <v>2047759.82966845</v>
      </c>
      <c r="H57" s="21" t="n">
        <f aca="false">(H55*$D$19)*DAY(EOMONTH(H$25,0))*1440/$E$19*$B$12</f>
        <v>2428414.62045069</v>
      </c>
      <c r="I57" s="21" t="n">
        <f aca="false">(I55*$D$19)*DAY(EOMONTH(I$25,0))*1440/$E$19*$B$12</f>
        <v>3006850.87526949</v>
      </c>
      <c r="J57" s="21" t="n">
        <f aca="false">(J55*$D$19)*DAY(EOMONTH(J$25,0))*1440/$E$19*$B$12</f>
        <v>3429896.87343808</v>
      </c>
      <c r="K57" s="21" t="n">
        <f aca="false">(K55*$D$19)*DAY(EOMONTH(K$25,0))*1440/$E$19*$B$12</f>
        <v>4125872.62030728</v>
      </c>
      <c r="L57" s="21" t="n">
        <f aca="false">(L55*$D$19)*DAY(EOMONTH(L$25,0))*1440/$E$19*$B$12</f>
        <v>4756594.12953736</v>
      </c>
      <c r="M57" s="21" t="n">
        <f aca="false">(M55*$D$19)*DAY(EOMONTH(M$25,0))*1440/$E$19*$B$12</f>
        <v>5266124.9223895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4.32</v>
      </c>
      <c r="C58" s="22" t="n">
        <f aca="false">(C55*$D$19)*Inputs!$B$8*$B$13*Inputs!$B$9*$F$19</f>
        <v>13.2192</v>
      </c>
      <c r="D58" s="22" t="n">
        <f aca="false">(D55*$D$19)*Inputs!$B$8*$B$13*Inputs!$B$9*$F$19</f>
        <v>22.669632</v>
      </c>
      <c r="E58" s="22" t="n">
        <f aca="false">(E55*$D$19)*Inputs!$B$8*$B$13*Inputs!$B$9*$F$19</f>
        <v>32.73996672</v>
      </c>
      <c r="F58" s="22" t="n">
        <f aca="false">(F55*$D$19)*Inputs!$B$8*$B$13*Inputs!$B$9*$F$19</f>
        <v>43.5052000512</v>
      </c>
      <c r="G58" s="22" t="n">
        <f aca="false">(G55*$D$19)*Inputs!$B$8*$B$13*Inputs!$B$9*$F$19</f>
        <v>55.047307249152</v>
      </c>
      <c r="H58" s="22" t="n">
        <f aca="false">(H55*$D$19)*Inputs!$B$8*$B$13*Inputs!$B$9*$F$19</f>
        <v>67.4559616791859</v>
      </c>
      <c r="I58" s="22" t="n">
        <f aca="false">(I55*$D$19)*Inputs!$B$8*$B$13*Inputs!$B$9*$F$19</f>
        <v>80.8293246040185</v>
      </c>
      <c r="J58" s="22" t="n">
        <f aca="false">(J55*$D$19)*Inputs!$B$8*$B$13*Inputs!$B$9*$F$19</f>
        <v>95.2749131510578</v>
      </c>
      <c r="K58" s="22" t="n">
        <f aca="false">(K55*$D$19)*Inputs!$B$8*$B$13*Inputs!$B$9*$F$19</f>
        <v>110.910554309336</v>
      </c>
      <c r="L58" s="22" t="n">
        <f aca="false">(L55*$D$19)*Inputs!$B$8*$B$13*Inputs!$B$9*$F$19</f>
        <v>127.865433589714</v>
      </c>
      <c r="M58" s="22" t="n">
        <f aca="false">(M55*$D$19)*Inputs!$B$8*$B$13*Inputs!$B$9*$F$19</f>
        <v>146.281247844153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31.3319232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92.098968192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162.19260018432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234.012513028147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284.165208612007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393.11099179156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467.852973966291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576.999612374733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660.598745611954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791.560154795508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912.497140621869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1014.01521165679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160704</v>
      </c>
      <c r="C67" s="21" t="n">
        <f aca="false">(C65*$D$20)*DAY(EOMONTH(C$25,0))*1440/$E$20*$B$12</f>
        <v>475891.2</v>
      </c>
      <c r="D67" s="21" t="n">
        <f aca="false">(D65*$D$20)*DAY(EOMONTH(D$25,0))*1440/$E$20*$B$12</f>
        <v>843310.3104</v>
      </c>
      <c r="E67" s="21" t="n">
        <f aca="false">(E65*$D$20)*DAY(EOMONTH(E$25,0))*1440/$E$20*$B$12</f>
        <v>1217926.761984</v>
      </c>
      <c r="F67" s="21" t="n">
        <f aca="false">(F65*$D$20)*DAY(EOMONTH(F$25,0))*1440/$E$20*$B$12</f>
        <v>1461774.72172032</v>
      </c>
      <c r="G67" s="21" t="n">
        <f aca="false">(G65*$D$20)*DAY(EOMONTH(G$25,0))*1440/$E$20*$B$12</f>
        <v>2047759.82966846</v>
      </c>
      <c r="H67" s="21" t="n">
        <f aca="false">(H65*$D$20)*DAY(EOMONTH(H$25,0))*1440/$E$20*$B$12</f>
        <v>2428414.62045069</v>
      </c>
      <c r="I67" s="21" t="n">
        <f aca="false">(I65*$D$20)*DAY(EOMONTH(I$25,0))*1440/$E$20*$B$12</f>
        <v>3006850.87526949</v>
      </c>
      <c r="J67" s="21" t="n">
        <f aca="false">(J65*$D$20)*DAY(EOMONTH(J$25,0))*1440/$E$20*$B$12</f>
        <v>3429896.87343808</v>
      </c>
      <c r="K67" s="21" t="n">
        <f aca="false">(K65*$D$20)*DAY(EOMONTH(K$25,0))*1440/$E$20*$B$12</f>
        <v>4125872.62030728</v>
      </c>
      <c r="L67" s="21" t="n">
        <f aca="false">(L65*$D$20)*DAY(EOMONTH(L$25,0))*1440/$E$20*$B$12</f>
        <v>4756594.12953736</v>
      </c>
      <c r="M67" s="21" t="n">
        <f aca="false">(M65*$D$20)*DAY(EOMONTH(M$25,0))*1440/$E$20*$B$12</f>
        <v>5266124.9223895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4.32</v>
      </c>
      <c r="C68" s="22" t="n">
        <f aca="false">(C65*$D$20)*Inputs!$B$8*$B$13*Inputs!$B$9*$F$20</f>
        <v>13.2192</v>
      </c>
      <c r="D68" s="22" t="n">
        <f aca="false">(D65*$D$20)*Inputs!$B$8*$B$13*Inputs!$B$9*$F$20</f>
        <v>22.669632</v>
      </c>
      <c r="E68" s="22" t="n">
        <f aca="false">(E65*$D$20)*Inputs!$B$8*$B$13*Inputs!$B$9*$F$20</f>
        <v>32.73996672</v>
      </c>
      <c r="F68" s="22" t="n">
        <f aca="false">(F65*$D$20)*Inputs!$B$8*$B$13*Inputs!$B$9*$F$20</f>
        <v>43.5052000512</v>
      </c>
      <c r="G68" s="22" t="n">
        <f aca="false">(G65*$D$20)*Inputs!$B$8*$B$13*Inputs!$B$9*$F$20</f>
        <v>55.047307249152</v>
      </c>
      <c r="H68" s="22" t="n">
        <f aca="false">(H65*$D$20)*Inputs!$B$8*$B$13*Inputs!$B$9*$F$20</f>
        <v>67.455961679186</v>
      </c>
      <c r="I68" s="22" t="n">
        <f aca="false">(I65*$D$20)*Inputs!$B$8*$B$13*Inputs!$B$9*$F$20</f>
        <v>80.8293246040185</v>
      </c>
      <c r="J68" s="22" t="n">
        <f aca="false">(J65*$D$20)*Inputs!$B$8*$B$13*Inputs!$B$9*$F$20</f>
        <v>95.2749131510578</v>
      </c>
      <c r="K68" s="22" t="n">
        <f aca="false">(K65*$D$20)*Inputs!$B$8*$B$13*Inputs!$B$9*$F$20</f>
        <v>110.910554309335</v>
      </c>
      <c r="L68" s="22" t="n">
        <f aca="false">(L65*$D$20)*Inputs!$B$8*$B$13*Inputs!$B$9*$F$20</f>
        <v>127.865433589714</v>
      </c>
      <c r="M68" s="22" t="n">
        <f aca="false">(M65*$D$20)*Inputs!$B$8*$B$13*Inputs!$B$9*$F$20</f>
        <v>146.281247844153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30.2711232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89.572920192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158.10914610432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228.268104311347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276.643854163879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383.683097233357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456.374061473616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563.308909293285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644.517628856436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772.89043673315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891.019180707239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989.485836506498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623174.4</v>
      </c>
      <c r="C78" s="26" t="n">
        <f aca="false">C37+C47+C57+C67</f>
        <v>1823541.12</v>
      </c>
      <c r="D78" s="26" t="n">
        <f aca="false">D37+D47+D57+D67</f>
        <v>3181851.52704</v>
      </c>
      <c r="E78" s="26" t="n">
        <f aca="false">E37+E47+E57+E67</f>
        <v>4529246.6971584</v>
      </c>
      <c r="F78" s="26" t="n">
        <f aca="false">F37+F47+F57+F67</f>
        <v>5365180.72047283</v>
      </c>
      <c r="G78" s="26" t="n">
        <f aca="false">G37+G47+G57+G67</f>
        <v>7427897.05152798</v>
      </c>
      <c r="H78" s="26" t="n">
        <f aca="false">H37+H47+H57+H67</f>
        <v>8716443.7463868</v>
      </c>
      <c r="I78" s="26" t="n">
        <f aca="false">I37+I47+I57+I67</f>
        <v>10692002.6308742</v>
      </c>
      <c r="J78" s="26" t="n">
        <f aca="false">J37+J47+J57+J67</f>
        <v>12095208.2580492</v>
      </c>
      <c r="K78" s="26" t="n">
        <f aca="false">K37+K47+K57+K67</f>
        <v>14442515.7507388</v>
      </c>
      <c r="L78" s="26" t="n">
        <f aca="false">L37+L47+L57+L67</f>
        <v>16541904.4964335</v>
      </c>
      <c r="M78" s="26" t="n">
        <f aca="false">M37+M47+M57+M67</f>
        <v>18208401.228197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11.232</v>
      </c>
      <c r="C79" s="27" t="n">
        <f aca="false">C38+C48+C58+C68</f>
        <v>34.36992</v>
      </c>
      <c r="D79" s="27" t="n">
        <f aca="false">D38+D48+D58+D68</f>
        <v>58.9410432</v>
      </c>
      <c r="E79" s="27" t="n">
        <f aca="false">E38+E48+E58+E68</f>
        <v>85.123913472</v>
      </c>
      <c r="F79" s="27" t="n">
        <f aca="false">F38+F48+F58+F68</f>
        <v>113.11352013312</v>
      </c>
      <c r="G79" s="27" t="n">
        <f aca="false">G38+G48+G58+G68</f>
        <v>143.122998847795</v>
      </c>
      <c r="H79" s="27" t="n">
        <f aca="false">H38+H48+H58+H68</f>
        <v>175.385500365883</v>
      </c>
      <c r="I79" s="27" t="n">
        <f aca="false">I38+I48+I58+I68</f>
        <v>210.156243970448</v>
      </c>
      <c r="J79" s="27" t="n">
        <f aca="false">J38+J48+J58+J68</f>
        <v>247.71477419275</v>
      </c>
      <c r="K79" s="27" t="n">
        <f aca="false">K38+K48+K58+K68</f>
        <v>288.367441204272</v>
      </c>
      <c r="L79" s="27" t="n">
        <f aca="false">L38+L48+L58+L68</f>
        <v>332.450127333257</v>
      </c>
      <c r="M79" s="27" t="n">
        <f aca="false">M38+M48+M58+M68</f>
        <v>380.331244394797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118.31476032</v>
      </c>
      <c r="C80" s="29" t="n">
        <f aca="false">C39+C49+C59+C69</f>
        <v>344.2485820992</v>
      </c>
      <c r="D80" s="29" t="n">
        <f aca="false">D39+D49+D59+D69</f>
        <v>598.355303687232</v>
      </c>
      <c r="E80" s="29" t="n">
        <f aca="false">E39+E49+E59+E69</f>
        <v>852.101639738863</v>
      </c>
      <c r="F80" s="29" t="n">
        <f aca="false">F39+F49+F59+F69</f>
        <v>1020.58228648357</v>
      </c>
      <c r="G80" s="29" t="n">
        <f aca="false">G39+G49+G59+G69</f>
        <v>1399.50261105464</v>
      </c>
      <c r="H80" s="29" t="n">
        <f aca="false">H39+H49+H59+H69</f>
        <v>1648.92309332372</v>
      </c>
      <c r="I80" s="29" t="n">
        <f aca="false">I39+I49+I59+I69</f>
        <v>2017.48729612062</v>
      </c>
      <c r="J80" s="29" t="n">
        <f aca="false">J39+J49+J59+J69</f>
        <v>2291.36827926042</v>
      </c>
      <c r="K80" s="29" t="n">
        <f aca="false">K39+K49+K59+K69</f>
        <v>2728.65352465146</v>
      </c>
      <c r="L80" s="29" t="n">
        <f aca="false">L39+L49+L59+L69</f>
        <v>3127.01717956099</v>
      </c>
      <c r="M80" s="29" t="n">
        <f aca="false">M39+M49+M59+M69</f>
        <v>3455.36184328063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218.31476032</v>
      </c>
      <c r="C83" s="28" t="n">
        <f aca="false">C80+C81+C82</f>
        <v>444.2485820992</v>
      </c>
      <c r="D83" s="28" t="n">
        <f aca="false">D80+D81+D82</f>
        <v>798.355303687232</v>
      </c>
      <c r="E83" s="28" t="n">
        <f aca="false">E80+E81+E82</f>
        <v>1052.10163973886</v>
      </c>
      <c r="F83" s="28" t="n">
        <f aca="false">F80+F81+F82</f>
        <v>1320.58228648357</v>
      </c>
      <c r="G83" s="28" t="n">
        <f aca="false">G80+G81+G82</f>
        <v>1699.50261105464</v>
      </c>
      <c r="H83" s="28" t="n">
        <f aca="false">H80+H81+H82</f>
        <v>2048.92309332372</v>
      </c>
      <c r="I83" s="28" t="n">
        <f aca="false">I80+I81+I82</f>
        <v>2417.48729612062</v>
      </c>
      <c r="J83" s="28" t="n">
        <f aca="false">J80+J81+J82</f>
        <v>2791.36827926042</v>
      </c>
      <c r="K83" s="28" t="n">
        <f aca="false">K80+K81+K82</f>
        <v>3228.65352465146</v>
      </c>
      <c r="L83" s="28" t="n">
        <f aca="false">L80+L81+L82</f>
        <v>3727.01717956099</v>
      </c>
      <c r="M83" s="28" t="n">
        <f aca="false">M80+M81+M82</f>
        <v>4155.36184328063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-74.31476032</v>
      </c>
      <c r="C84" s="28" t="n">
        <f aca="false">C77-C83</f>
        <v>-3.60858209920008</v>
      </c>
      <c r="D84" s="28" t="n">
        <f aca="false">D77-D83</f>
        <v>-42.7009036872321</v>
      </c>
      <c r="E84" s="28" t="n">
        <f aca="false">E77-E83</f>
        <v>39.2305842611372</v>
      </c>
      <c r="F84" s="28" t="n">
        <f aca="false">F77-F83</f>
        <v>129.591048556429</v>
      </c>
      <c r="G84" s="28" t="n">
        <f aca="false">G77-G83</f>
        <v>135.407630583761</v>
      </c>
      <c r="H84" s="28" t="n">
        <f aca="false">H77-H83</f>
        <v>199.608962649145</v>
      </c>
      <c r="I84" s="28" t="n">
        <f aca="false">I77-I83</f>
        <v>276.823524013327</v>
      </c>
      <c r="J84" s="28" t="n">
        <f aca="false">J77-J83</f>
        <v>384.462159108174</v>
      </c>
      <c r="K84" s="28" t="n">
        <f aca="false">K77-K83</f>
        <v>468.364952326394</v>
      </c>
      <c r="L84" s="28" t="n">
        <f aca="false">L77-L83</f>
        <v>535.163940096143</v>
      </c>
      <c r="M84" s="28" t="n">
        <f aca="false">M77-M83</f>
        <v>720.67975152446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-0.516074724444445</v>
      </c>
      <c r="C85" s="31" t="n">
        <f aca="false">IFERROR(C84/C77,0)</f>
        <v>-0.00818941108206263</v>
      </c>
      <c r="D85" s="31" t="n">
        <f aca="false">IFERROR(D84/D77,0)</f>
        <v>-0.0565085092963557</v>
      </c>
      <c r="E85" s="31" t="n">
        <f aca="false">IFERROR(E84/E77,0)</f>
        <v>0.0359474259060614</v>
      </c>
      <c r="F85" s="31" t="n">
        <f aca="false">IFERROR(F84/F77,0)</f>
        <v>0.0893624544219431</v>
      </c>
      <c r="G85" s="31" t="n">
        <f aca="false">IFERROR(G84/G77,0)</f>
        <v>0.0737952339635178</v>
      </c>
      <c r="H85" s="31" t="n">
        <f aca="false">IFERROR(H84/H77,0)</f>
        <v>0.0887730117606799</v>
      </c>
      <c r="I85" s="31" t="n">
        <f aca="false">IFERROR(I84/I77,0)</f>
        <v>0.102743722789773</v>
      </c>
      <c r="J85" s="31" t="n">
        <f aca="false">IFERROR(J84/J77,0)</f>
        <v>0.121058780236917</v>
      </c>
      <c r="K85" s="31" t="n">
        <f aca="false">IFERROR(K84/K77,0)</f>
        <v>0.126687208961223</v>
      </c>
      <c r="L85" s="31" t="n">
        <f aca="false">IFERROR(L84/L77,0)</f>
        <v>0.125561050802832</v>
      </c>
      <c r="M85" s="31" t="n">
        <f aca="false">IFERROR(M84/M77,0)</f>
        <v>0.147800164849346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5678.9226288</v>
      </c>
      <c r="K91" s="28" t="n">
        <f aca="false">K86+K87+K88+K89+K90</f>
        <v>5781.81489168</v>
      </c>
      <c r="L91" s="28" t="n">
        <f aca="false">L86+L87+L88+L89+L90</f>
        <v>5894.996380848</v>
      </c>
      <c r="M91" s="28" t="n">
        <f aca="false">M86+M87+M88+M89+M90</f>
        <v>6019.4960189328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-704.31476032</v>
      </c>
      <c r="C92" s="28" t="n">
        <f aca="false">C84-C91</f>
        <v>-681.6085820992</v>
      </c>
      <c r="D92" s="28" t="n">
        <f aca="false">D84-D91</f>
        <v>-773.500903687232</v>
      </c>
      <c r="E92" s="28" t="n">
        <f aca="false">E84-E91</f>
        <v>-2249.64941573886</v>
      </c>
      <c r="F92" s="28" t="n">
        <f aca="false">F84-F91</f>
        <v>-2223.17695144357</v>
      </c>
      <c r="G92" s="28" t="n">
        <f aca="false">G84-G91</f>
        <v>-2287.63716941624</v>
      </c>
      <c r="H92" s="28" t="n">
        <f aca="false">H84-H91</f>
        <v>-2300.74031735086</v>
      </c>
      <c r="I92" s="28" t="n">
        <f aca="false">I84-I91</f>
        <v>-2308.56068398667</v>
      </c>
      <c r="J92" s="28" t="n">
        <f aca="false">J84-J91</f>
        <v>-5294.46046969183</v>
      </c>
      <c r="K92" s="28" t="n">
        <f aca="false">K84-K91</f>
        <v>-5313.44993935361</v>
      </c>
      <c r="L92" s="28" t="n">
        <f aca="false">L84-L91</f>
        <v>-5359.83244075186</v>
      </c>
      <c r="M92" s="28" t="n">
        <f aca="false">M84-M91</f>
        <v>-5298.81626740834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-704.31476032</v>
      </c>
      <c r="C93" s="30" t="n">
        <f aca="false">B93+C92</f>
        <v>-1385.9233424192</v>
      </c>
      <c r="D93" s="30" t="n">
        <f aca="false">C93+D92</f>
        <v>-2159.42424610643</v>
      </c>
      <c r="E93" s="30" t="n">
        <f aca="false">D93+E92</f>
        <v>-4409.0736618453</v>
      </c>
      <c r="F93" s="30" t="n">
        <f aca="false">E93+F92</f>
        <v>-6632.25061328887</v>
      </c>
      <c r="G93" s="30" t="n">
        <f aca="false">F93+G92</f>
        <v>-8919.88778270511</v>
      </c>
      <c r="H93" s="30" t="n">
        <f aca="false">G93+H92</f>
        <v>-11220.628100056</v>
      </c>
      <c r="I93" s="30" t="n">
        <f aca="false">H93+I92</f>
        <v>-13529.1887840426</v>
      </c>
      <c r="J93" s="30" t="n">
        <f aca="false">I93+J92</f>
        <v>-18823.6492537345</v>
      </c>
      <c r="K93" s="30" t="n">
        <f aca="false">J93+K92</f>
        <v>-24137.0991930881</v>
      </c>
      <c r="L93" s="30" t="n">
        <f aca="false">K93+L92</f>
        <v>-29496.9316338399</v>
      </c>
      <c r="M93" s="30" t="n">
        <f aca="false">L93+M92</f>
        <v>-34795.7479012483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14295.68523968</v>
      </c>
      <c r="C94" s="28" t="n">
        <f aca="false">Inputs!$B$49+C93</f>
        <v>13614.0766575808</v>
      </c>
      <c r="D94" s="28" t="n">
        <f aca="false">Inputs!$B$49+D93</f>
        <v>12840.5757538936</v>
      </c>
      <c r="E94" s="28" t="n">
        <f aca="false">Inputs!$B$49+E93</f>
        <v>10590.9263381547</v>
      </c>
      <c r="F94" s="28" t="n">
        <f aca="false">Inputs!$B$49+F93</f>
        <v>8367.74938671113</v>
      </c>
      <c r="G94" s="28" t="n">
        <f aca="false">Inputs!$B$49+G93</f>
        <v>6080.11221729489</v>
      </c>
      <c r="H94" s="28" t="n">
        <f aca="false">Inputs!$B$49+H93</f>
        <v>3779.37189994404</v>
      </c>
      <c r="I94" s="28" t="n">
        <f aca="false">Inputs!$B$49+I93</f>
        <v>1470.81121595736</v>
      </c>
      <c r="J94" s="28" t="n">
        <f aca="false">Inputs!$B$49+J93</f>
        <v>-3823.64925373446</v>
      </c>
      <c r="K94" s="28" t="n">
        <f aca="false">Inputs!$B$49+K93</f>
        <v>-9137.09919308807</v>
      </c>
      <c r="L94" s="28" t="n">
        <f aca="false">Inputs!$B$49+L93</f>
        <v>-14496.9316338399</v>
      </c>
      <c r="M94" s="28" t="n">
        <f aca="false">Inputs!$B$49+M93</f>
        <v>-19795.7479012483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4295.68523968</v>
      </c>
      <c r="C95" s="30" t="n">
        <f aca="false">Inputs!$B$54+C93</f>
        <v>3614.0766575808</v>
      </c>
      <c r="D95" s="30" t="n">
        <f aca="false">Inputs!$B$54+D93</f>
        <v>2840.57575389357</v>
      </c>
      <c r="E95" s="30" t="n">
        <f aca="false">Inputs!$B$54+E93</f>
        <v>590.926338154704</v>
      </c>
      <c r="F95" s="30" t="n">
        <f aca="false">Inputs!$B$54+F93</f>
        <v>-1632.25061328887</v>
      </c>
      <c r="G95" s="30" t="n">
        <f aca="false">Inputs!$B$54+G93</f>
        <v>-3919.88778270511</v>
      </c>
      <c r="H95" s="30" t="n">
        <f aca="false">Inputs!$B$54+H93</f>
        <v>-6220.62810005596</v>
      </c>
      <c r="I95" s="30" t="n">
        <f aca="false">Inputs!$B$54+I93</f>
        <v>-8529.18878404264</v>
      </c>
      <c r="J95" s="30" t="n">
        <f aca="false">Inputs!$B$54+J93</f>
        <v>-13823.6492537345</v>
      </c>
      <c r="K95" s="30" t="n">
        <f aca="false">Inputs!$B$54+K93</f>
        <v>-19137.0991930881</v>
      </c>
      <c r="L95" s="30" t="n">
        <f aca="false">Inputs!$B$54+L93</f>
        <v>-24496.9316338399</v>
      </c>
      <c r="M95" s="30" t="n">
        <f aca="false">Inputs!$B$54+M93</f>
        <v>-29795.7479012483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14295.68523968</v>
      </c>
      <c r="C96" s="29" t="n">
        <f aca="false">Inputs!$B$55+C93</f>
        <v>13614.0766575808</v>
      </c>
      <c r="D96" s="29" t="n">
        <f aca="false">Inputs!$B$55+D93</f>
        <v>12840.5757538936</v>
      </c>
      <c r="E96" s="29" t="n">
        <f aca="false">Inputs!$B$55+E93</f>
        <v>10590.9263381547</v>
      </c>
      <c r="F96" s="29" t="n">
        <f aca="false">Inputs!$B$55+F93</f>
        <v>8367.74938671113</v>
      </c>
      <c r="G96" s="29" t="n">
        <f aca="false">Inputs!$B$55+G93</f>
        <v>6080.11221729489</v>
      </c>
      <c r="H96" s="29" t="n">
        <f aca="false">Inputs!$B$55+H93</f>
        <v>3779.37189994404</v>
      </c>
      <c r="I96" s="29" t="n">
        <f aca="false">Inputs!$B$55+I93</f>
        <v>1470.81121595736</v>
      </c>
      <c r="J96" s="29" t="n">
        <f aca="false">Inputs!$B$55+J93</f>
        <v>-3823.64925373446</v>
      </c>
      <c r="K96" s="29" t="n">
        <f aca="false">Inputs!$B$55+K93</f>
        <v>-9137.09919308807</v>
      </c>
      <c r="L96" s="29" t="n">
        <f aca="false">Inputs!$B$55+L93</f>
        <v>-14496.9316338399</v>
      </c>
      <c r="M96" s="29" t="n">
        <f aca="false">Inputs!$B$55+M93</f>
        <v>-19795.7479012483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29295.68523968</v>
      </c>
      <c r="C97" s="30" t="n">
        <f aca="false">Inputs!$B$56+C93</f>
        <v>28614.0766575808</v>
      </c>
      <c r="D97" s="30" t="n">
        <f aca="false">Inputs!$B$56+D93</f>
        <v>27840.5757538936</v>
      </c>
      <c r="E97" s="30" t="n">
        <f aca="false">Inputs!$B$56+E93</f>
        <v>25590.9263381547</v>
      </c>
      <c r="F97" s="30" t="n">
        <f aca="false">Inputs!$B$56+F93</f>
        <v>23367.7493867111</v>
      </c>
      <c r="G97" s="30" t="n">
        <f aca="false">Inputs!$B$56+G93</f>
        <v>21080.1122172949</v>
      </c>
      <c r="H97" s="30" t="n">
        <f aca="false">Inputs!$B$56+H93</f>
        <v>18779.371899944</v>
      </c>
      <c r="I97" s="30" t="n">
        <f aca="false">Inputs!$B$56+I93</f>
        <v>16470.8112159574</v>
      </c>
      <c r="J97" s="30" t="n">
        <f aca="false">Inputs!$B$56+J93</f>
        <v>11176.3507462655</v>
      </c>
      <c r="K97" s="30" t="n">
        <f aca="false">Inputs!$B$56+K93</f>
        <v>5862.90080691193</v>
      </c>
      <c r="L97" s="30" t="n">
        <f aca="false">Inputs!$B$56+L93</f>
        <v>503.068366160078</v>
      </c>
      <c r="M97" s="30" t="n">
        <f aca="false">Inputs!$B$56+M93</f>
        <v>-4795.74790124827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36.3857933866667</v>
      </c>
      <c r="C100" s="29" t="n">
        <f aca="false">IFERROR(C83/C74,0)</f>
        <v>24.1965458659695</v>
      </c>
      <c r="D100" s="29" t="n">
        <f aca="false">IFERROR(D83/D74,0)</f>
        <v>25.3562042231125</v>
      </c>
      <c r="E100" s="29" t="n">
        <f aca="false">IFERROR(E83/E74,0)</f>
        <v>23.1372617782545</v>
      </c>
      <c r="F100" s="29" t="n">
        <f aca="false">IFERROR(F83/F74,0)</f>
        <v>21.8553010938734</v>
      </c>
      <c r="G100" s="29" t="n">
        <f aca="false">IFERROR(G83/G74,0)</f>
        <v>22.2289143848756</v>
      </c>
      <c r="H100" s="29" t="n">
        <f aca="false">IFERROR(H83/H74,0)</f>
        <v>21.8694477177437</v>
      </c>
      <c r="I100" s="29" t="n">
        <f aca="false">IFERROR(I83/I74,0)</f>
        <v>21.5341506530455</v>
      </c>
      <c r="J100" s="29" t="n">
        <f aca="false">IFERROR(J83/J74,0)</f>
        <v>21.094589274314</v>
      </c>
      <c r="K100" s="29" t="n">
        <f aca="false">IFERROR(K83/K74,0)</f>
        <v>20.9595069849307</v>
      </c>
      <c r="L100" s="29" t="n">
        <f aca="false">IFERROR(L83/L74,0)</f>
        <v>20.986534780732</v>
      </c>
      <c r="M100" s="29" t="n">
        <f aca="false">IFERROR(M83/M74,0)</f>
        <v>20.4527960436157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-12.3857933866667</v>
      </c>
      <c r="C101" s="30" t="n">
        <f aca="false">C98-C100</f>
        <v>-0.196545865969505</v>
      </c>
      <c r="D101" s="30" t="n">
        <f aca="false">D98-D100</f>
        <v>-1.35620422311253</v>
      </c>
      <c r="E101" s="30" t="n">
        <f aca="false">E98-E100</f>
        <v>0.862738221745474</v>
      </c>
      <c r="F101" s="30" t="n">
        <f aca="false">F98-F100</f>
        <v>2.14469890612664</v>
      </c>
      <c r="G101" s="30" t="n">
        <f aca="false">G98-G100</f>
        <v>1.77108561512442</v>
      </c>
      <c r="H101" s="30" t="n">
        <f aca="false">H98-H100</f>
        <v>2.13055228225632</v>
      </c>
      <c r="I101" s="30" t="n">
        <f aca="false">I98-I100</f>
        <v>2.46584934695454</v>
      </c>
      <c r="J101" s="30" t="n">
        <f aca="false">J98-J100</f>
        <v>2.905410725686</v>
      </c>
      <c r="K101" s="30" t="n">
        <f aca="false">K98-K100</f>
        <v>3.04049301506935</v>
      </c>
      <c r="L101" s="30" t="n">
        <f aca="false">L98-L100</f>
        <v>3.01346521926798</v>
      </c>
      <c r="M101" s="30" t="n">
        <f aca="false">M98-M100</f>
        <v>3.5472039563843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21.5684555436368</v>
      </c>
      <c r="F102" s="32" t="n">
        <f aca="false">IF(F101&gt;0,F101/$B$7,0)</f>
        <v>53.617472653166</v>
      </c>
      <c r="G102" s="32" t="n">
        <f aca="false">IF(G101&gt;0,G101/$B$7,0)</f>
        <v>44.2771403781106</v>
      </c>
      <c r="H102" s="32" t="n">
        <f aca="false">IF(H101&gt;0,H101/$B$7,0)</f>
        <v>53.2638070564079</v>
      </c>
      <c r="I102" s="32" t="n">
        <f aca="false">IF(I101&gt;0,I101/$B$7,0)</f>
        <v>61.6462336738636</v>
      </c>
      <c r="J102" s="32" t="n">
        <f aca="false">IF(J101&gt;0,J101/$B$7,0)</f>
        <v>72.63526814215</v>
      </c>
      <c r="K102" s="32" t="n">
        <f aca="false">IF(K101&gt;0,K101/$B$7,0)</f>
        <v>76.0123253767337</v>
      </c>
      <c r="L102" s="32" t="n">
        <f aca="false">IF(L101&gt;0,L101/$B$7,0)</f>
        <v>75.3366304816994</v>
      </c>
      <c r="M102" s="32" t="n">
        <f aca="false">IF(M101&gt;0,M101/$B$7,0)</f>
        <v>88.6800989096075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0.539211388590921</v>
      </c>
      <c r="F103" s="33" t="n">
        <f aca="false">IF(F101&gt;0,F102/$B$9,0)</f>
        <v>1.34043681632915</v>
      </c>
      <c r="G103" s="33" t="n">
        <f aca="false">IF(G101&gt;0,G102/$B$9,0)</f>
        <v>1.10692850945276</v>
      </c>
      <c r="H103" s="33" t="n">
        <f aca="false">IF(H101&gt;0,H102/$B$9,0)</f>
        <v>1.3315951764102</v>
      </c>
      <c r="I103" s="33" t="n">
        <f aca="false">IF(I101&gt;0,I102/$B$9,0)</f>
        <v>1.54115584184659</v>
      </c>
      <c r="J103" s="33" t="n">
        <f aca="false">IF(J101&gt;0,J102/$B$9,0)</f>
        <v>1.81588170355375</v>
      </c>
      <c r="K103" s="33" t="n">
        <f aca="false">IF(K101&gt;0,K102/$B$9,0)</f>
        <v>1.90030813441834</v>
      </c>
      <c r="L103" s="33" t="n">
        <f aca="false">IF(L101&gt;0,L102/$B$9,0)</f>
        <v>1.88341576204249</v>
      </c>
      <c r="M103" s="33" t="n">
        <f aca="false">IF(M101&gt;0,M102/$B$9,0)</f>
        <v>2.21700247274019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46.3640058963342</v>
      </c>
      <c r="F104" s="32" t="n">
        <f aca="false">IF(F101&gt;0,$B$9/F101,0)</f>
        <v>18.6506366398259</v>
      </c>
      <c r="G104" s="32" t="n">
        <f aca="false">IF(G101&gt;0,$B$9/G101,0)</f>
        <v>22.5850177193099</v>
      </c>
      <c r="H104" s="32" t="n">
        <f aca="false">IF(H101&gt;0,$B$9/H101,0)</f>
        <v>18.7744747374323</v>
      </c>
      <c r="I104" s="32" t="n">
        <f aca="false">IF(I101&gt;0,$B$9/I101,0)</f>
        <v>16.221591172795</v>
      </c>
      <c r="J104" s="32" t="n">
        <f aca="false">IF(J101&gt;0,$B$9/J101,0)</f>
        <v>13.7674166500351</v>
      </c>
      <c r="K104" s="32" t="n">
        <f aca="false">IF(K101&gt;0,$B$9/K101,0)</f>
        <v>13.1557611879887</v>
      </c>
      <c r="L104" s="32" t="n">
        <f aca="false">IF(L101&gt;0,$B$9/L101,0)</f>
        <v>13.2737553246812</v>
      </c>
      <c r="M104" s="32" t="n">
        <f aca="false">IF(M101&gt;0,$B$9/M101,0)</f>
        <v>11.276487197193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18" t="n">
        <v>60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205344</v>
      </c>
      <c r="C37" s="21" t="n">
        <f aca="false">(C35*$D$17)*DAY(EOMONTH(C$25,0))*1440/$E$17*$B$12</f>
        <v>586224</v>
      </c>
      <c r="D37" s="21" t="n">
        <f aca="false">(D35*$D$17)*DAY(EOMONTH(D$25,0))*1440/$E$17*$B$12</f>
        <v>989244.72</v>
      </c>
      <c r="E37" s="21" t="n">
        <f aca="false">(E35*$D$17)*DAY(EOMONTH(E$25,0))*1440/$E$17*$B$12</f>
        <v>1362637.116</v>
      </c>
      <c r="F37" s="21" t="n">
        <f aca="false">(F35*$D$17)*DAY(EOMONTH(F$25,0))*1440/$E$17*$B$12</f>
        <v>1564566.444</v>
      </c>
      <c r="G37" s="21" t="n">
        <f aca="false">(G35*$D$17)*DAY(EOMONTH(G$25,0))*1440/$E$17*$B$12</f>
        <v>2103721.49439</v>
      </c>
      <c r="H37" s="21" t="n">
        <f aca="false">(H35*$D$17)*DAY(EOMONTH(H$25,0))*1440/$E$17*$B$12</f>
        <v>2402565.733215</v>
      </c>
      <c r="I37" s="21" t="n">
        <f aca="false">(I35*$D$17)*DAY(EOMONTH(I$25,0))*1440/$E$17*$B$12</f>
        <v>2874190.35517358</v>
      </c>
      <c r="J37" s="21" t="n">
        <f aca="false">(J35*$D$17)*DAY(EOMONTH(J$25,0))*1440/$E$17*$B$12</f>
        <v>3177476.38711024</v>
      </c>
      <c r="K37" s="21" t="n">
        <f aca="false">(K35*$D$17)*DAY(EOMONTH(K$25,0))*1440/$E$17*$B$12</f>
        <v>3715246.93793984</v>
      </c>
      <c r="L37" s="21" t="n">
        <f aca="false">(L35*$D$17)*DAY(EOMONTH(L$25,0))*1440/$E$17*$B$12</f>
        <v>4174759.75963634</v>
      </c>
      <c r="M37" s="21" t="n">
        <f aca="false">(M35*$D$17)*DAY(EOMONTH(M$25,0))*1440/$E$17*$B$12</f>
        <v>4516476.42998431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35.10168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100.22802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169.1023434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232.93036077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267.6060521925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359.611961903925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410.772002442732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491.316571735182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543.260198962876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635.087507482781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713.637024503428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772.192011848706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96422.4</v>
      </c>
      <c r="C47" s="21" t="n">
        <f aca="false">(C45*$D$18)*DAY(EOMONTH(C$25,0))*1440/$E$18*$B$12</f>
        <v>285534.72</v>
      </c>
      <c r="D47" s="21" t="n">
        <f aca="false">(D45*$D$18)*DAY(EOMONTH(D$25,0))*1440/$E$18*$B$12</f>
        <v>505986.18624</v>
      </c>
      <c r="E47" s="21" t="n">
        <f aca="false">(E45*$D$18)*DAY(EOMONTH(E$25,0))*1440/$E$18*$B$12</f>
        <v>730756.0571904</v>
      </c>
      <c r="F47" s="21" t="n">
        <f aca="false">(F45*$D$18)*DAY(EOMONTH(F$25,0))*1440/$E$18*$B$12</f>
        <v>877064.833032192</v>
      </c>
      <c r="G47" s="21" t="n">
        <f aca="false">(G45*$D$18)*DAY(EOMONTH(G$25,0))*1440/$E$18*$B$12</f>
        <v>1228655.89780107</v>
      </c>
      <c r="H47" s="21" t="n">
        <f aca="false">(H45*$D$18)*DAY(EOMONTH(H$25,0))*1440/$E$18*$B$12</f>
        <v>1457048.77227042</v>
      </c>
      <c r="I47" s="21" t="n">
        <f aca="false">(I45*$D$18)*DAY(EOMONTH(I$25,0))*1440/$E$18*$B$12</f>
        <v>1804110.52516169</v>
      </c>
      <c r="J47" s="21" t="n">
        <f aca="false">(J45*$D$18)*DAY(EOMONTH(J$25,0))*1440/$E$18*$B$12</f>
        <v>2057938.12406285</v>
      </c>
      <c r="K47" s="21" t="n">
        <f aca="false">(K45*$D$18)*DAY(EOMONTH(K$25,0))*1440/$E$18*$B$12</f>
        <v>2475523.57218437</v>
      </c>
      <c r="L47" s="21" t="n">
        <f aca="false">(L45*$D$18)*DAY(EOMONTH(L$25,0))*1440/$E$18*$B$12</f>
        <v>2853956.47772242</v>
      </c>
      <c r="M47" s="21" t="n">
        <f aca="false">(M45*$D$18)*DAY(EOMONTH(M$25,0))*1440/$E$18*$B$12</f>
        <v>3159674.9534337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2.592</v>
      </c>
      <c r="C48" s="22" t="n">
        <f aca="false">(C45*$D$18)*Inputs!$B$8*$B$13*Inputs!$B$9*$F$18</f>
        <v>7.93152</v>
      </c>
      <c r="D48" s="22" t="n">
        <f aca="false">(D45*$D$18)*Inputs!$B$8*$B$13*Inputs!$B$9*$F$18</f>
        <v>13.6017792</v>
      </c>
      <c r="E48" s="22" t="n">
        <f aca="false">(E45*$D$18)*Inputs!$B$8*$B$13*Inputs!$B$9*$F$18</f>
        <v>19.643980032</v>
      </c>
      <c r="F48" s="22" t="n">
        <f aca="false">(F45*$D$18)*Inputs!$B$8*$B$13*Inputs!$B$9*$F$18</f>
        <v>26.10312003072</v>
      </c>
      <c r="G48" s="22" t="n">
        <f aca="false">(G45*$D$18)*Inputs!$B$8*$B$13*Inputs!$B$9*$F$18</f>
        <v>33.0283843494912</v>
      </c>
      <c r="H48" s="22" t="n">
        <f aca="false">(H45*$D$18)*Inputs!$B$8*$B$13*Inputs!$B$9*$F$18</f>
        <v>40.4735770075116</v>
      </c>
      <c r="I48" s="22" t="n">
        <f aca="false">(I45*$D$18)*Inputs!$B$8*$B$13*Inputs!$B$9*$F$18</f>
        <v>48.4975947624111</v>
      </c>
      <c r="J48" s="22" t="n">
        <f aca="false">(J45*$D$18)*Inputs!$B$8*$B$13*Inputs!$B$9*$F$18</f>
        <v>57.1649478906347</v>
      </c>
      <c r="K48" s="22" t="n">
        <f aca="false">(K45*$D$18)*Inputs!$B$8*$B$13*Inputs!$B$9*$F$18</f>
        <v>66.5463325856013</v>
      </c>
      <c r="L48" s="22" t="n">
        <f aca="false">(L45*$D$18)*Inputs!$B$8*$B$13*Inputs!$B$9*$F$18</f>
        <v>76.7192601538285</v>
      </c>
      <c r="M48" s="22" t="n">
        <f aca="false">(M45*$D$18)*Inputs!$B$8*$B$13*Inputs!$B$9*$F$18</f>
        <v>87.7687487064916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21.59479296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62.3020363776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108.871235536896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156.77515502678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192.013685169404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262.902353225822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313.686070808277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385.57703686022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442.655575935556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528.724133204413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609.412724478753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679.152703026245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160704</v>
      </c>
      <c r="C57" s="21" t="n">
        <f aca="false">(C55*$D$19)*DAY(EOMONTH(C$25,0))*1440/$E$19*$B$12</f>
        <v>475891.2</v>
      </c>
      <c r="D57" s="21" t="n">
        <f aca="false">(D55*$D$19)*DAY(EOMONTH(D$25,0))*1440/$E$19*$B$12</f>
        <v>843310.3104</v>
      </c>
      <c r="E57" s="21" t="n">
        <f aca="false">(E55*$D$19)*DAY(EOMONTH(E$25,0))*1440/$E$19*$B$12</f>
        <v>1217926.761984</v>
      </c>
      <c r="F57" s="21" t="n">
        <f aca="false">(F55*$D$19)*DAY(EOMONTH(F$25,0))*1440/$E$19*$B$12</f>
        <v>1461774.72172032</v>
      </c>
      <c r="G57" s="21" t="n">
        <f aca="false">(G55*$D$19)*DAY(EOMONTH(G$25,0))*1440/$E$19*$B$12</f>
        <v>2047759.82966845</v>
      </c>
      <c r="H57" s="21" t="n">
        <f aca="false">(H55*$D$19)*DAY(EOMONTH(H$25,0))*1440/$E$19*$B$12</f>
        <v>2428414.62045069</v>
      </c>
      <c r="I57" s="21" t="n">
        <f aca="false">(I55*$D$19)*DAY(EOMONTH(I$25,0))*1440/$E$19*$B$12</f>
        <v>3006850.87526949</v>
      </c>
      <c r="J57" s="21" t="n">
        <f aca="false">(J55*$D$19)*DAY(EOMONTH(J$25,0))*1440/$E$19*$B$12</f>
        <v>3429896.87343808</v>
      </c>
      <c r="K57" s="21" t="n">
        <f aca="false">(K55*$D$19)*DAY(EOMONTH(K$25,0))*1440/$E$19*$B$12</f>
        <v>4125872.62030728</v>
      </c>
      <c r="L57" s="21" t="n">
        <f aca="false">(L55*$D$19)*DAY(EOMONTH(L$25,0))*1440/$E$19*$B$12</f>
        <v>4756594.12953736</v>
      </c>
      <c r="M57" s="21" t="n">
        <f aca="false">(M55*$D$19)*DAY(EOMONTH(M$25,0))*1440/$E$19*$B$12</f>
        <v>5266124.9223895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4.32</v>
      </c>
      <c r="C58" s="22" t="n">
        <f aca="false">(C55*$D$19)*Inputs!$B$8*$B$13*Inputs!$B$9*$F$19</f>
        <v>13.2192</v>
      </c>
      <c r="D58" s="22" t="n">
        <f aca="false">(D55*$D$19)*Inputs!$B$8*$B$13*Inputs!$B$9*$F$19</f>
        <v>22.669632</v>
      </c>
      <c r="E58" s="22" t="n">
        <f aca="false">(E55*$D$19)*Inputs!$B$8*$B$13*Inputs!$B$9*$F$19</f>
        <v>32.73996672</v>
      </c>
      <c r="F58" s="22" t="n">
        <f aca="false">(F55*$D$19)*Inputs!$B$8*$B$13*Inputs!$B$9*$F$19</f>
        <v>43.5052000512</v>
      </c>
      <c r="G58" s="22" t="n">
        <f aca="false">(G55*$D$19)*Inputs!$B$8*$B$13*Inputs!$B$9*$F$19</f>
        <v>55.047307249152</v>
      </c>
      <c r="H58" s="22" t="n">
        <f aca="false">(H55*$D$19)*Inputs!$B$8*$B$13*Inputs!$B$9*$F$19</f>
        <v>67.4559616791859</v>
      </c>
      <c r="I58" s="22" t="n">
        <f aca="false">(I55*$D$19)*Inputs!$B$8*$B$13*Inputs!$B$9*$F$19</f>
        <v>80.8293246040185</v>
      </c>
      <c r="J58" s="22" t="n">
        <f aca="false">(J55*$D$19)*Inputs!$B$8*$B$13*Inputs!$B$9*$F$19</f>
        <v>95.2749131510578</v>
      </c>
      <c r="K58" s="22" t="n">
        <f aca="false">(K55*$D$19)*Inputs!$B$8*$B$13*Inputs!$B$9*$F$19</f>
        <v>110.910554309336</v>
      </c>
      <c r="L58" s="22" t="n">
        <f aca="false">(L55*$D$19)*Inputs!$B$8*$B$13*Inputs!$B$9*$F$19</f>
        <v>127.865433589714</v>
      </c>
      <c r="M58" s="22" t="n">
        <f aca="false">(M55*$D$19)*Inputs!$B$8*$B$13*Inputs!$B$9*$F$19</f>
        <v>146.281247844153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31.3065216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92.021239296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162.05930274816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233.820002023834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283.909398035706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392.787313624935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467.456332911617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576.524335946061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660.038529122626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790.908000736169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911.745291872362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1013.15507791946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160704</v>
      </c>
      <c r="C67" s="21" t="n">
        <f aca="false">(C65*$D$20)*DAY(EOMONTH(C$25,0))*1440/$E$20*$B$12</f>
        <v>475891.2</v>
      </c>
      <c r="D67" s="21" t="n">
        <f aca="false">(D65*$D$20)*DAY(EOMONTH(D$25,0))*1440/$E$20*$B$12</f>
        <v>843310.3104</v>
      </c>
      <c r="E67" s="21" t="n">
        <f aca="false">(E65*$D$20)*DAY(EOMONTH(E$25,0))*1440/$E$20*$B$12</f>
        <v>1217926.761984</v>
      </c>
      <c r="F67" s="21" t="n">
        <f aca="false">(F65*$D$20)*DAY(EOMONTH(F$25,0))*1440/$E$20*$B$12</f>
        <v>1461774.72172032</v>
      </c>
      <c r="G67" s="21" t="n">
        <f aca="false">(G65*$D$20)*DAY(EOMONTH(G$25,0))*1440/$E$20*$B$12</f>
        <v>2047759.82966846</v>
      </c>
      <c r="H67" s="21" t="n">
        <f aca="false">(H65*$D$20)*DAY(EOMONTH(H$25,0))*1440/$E$20*$B$12</f>
        <v>2428414.62045069</v>
      </c>
      <c r="I67" s="21" t="n">
        <f aca="false">(I65*$D$20)*DAY(EOMONTH(I$25,0))*1440/$E$20*$B$12</f>
        <v>3006850.87526949</v>
      </c>
      <c r="J67" s="21" t="n">
        <f aca="false">(J65*$D$20)*DAY(EOMONTH(J$25,0))*1440/$E$20*$B$12</f>
        <v>3429896.87343808</v>
      </c>
      <c r="K67" s="21" t="n">
        <f aca="false">(K65*$D$20)*DAY(EOMONTH(K$25,0))*1440/$E$20*$B$12</f>
        <v>4125872.62030728</v>
      </c>
      <c r="L67" s="21" t="n">
        <f aca="false">(L65*$D$20)*DAY(EOMONTH(L$25,0))*1440/$E$20*$B$12</f>
        <v>4756594.12953736</v>
      </c>
      <c r="M67" s="21" t="n">
        <f aca="false">(M65*$D$20)*DAY(EOMONTH(M$25,0))*1440/$E$20*$B$12</f>
        <v>5266124.9223895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4.32</v>
      </c>
      <c r="C68" s="22" t="n">
        <f aca="false">(C65*$D$20)*Inputs!$B$8*$B$13*Inputs!$B$9*$F$20</f>
        <v>13.2192</v>
      </c>
      <c r="D68" s="22" t="n">
        <f aca="false">(D65*$D$20)*Inputs!$B$8*$B$13*Inputs!$B$9*$F$20</f>
        <v>22.669632</v>
      </c>
      <c r="E68" s="22" t="n">
        <f aca="false">(E65*$D$20)*Inputs!$B$8*$B$13*Inputs!$B$9*$F$20</f>
        <v>32.73996672</v>
      </c>
      <c r="F68" s="22" t="n">
        <f aca="false">(F65*$D$20)*Inputs!$B$8*$B$13*Inputs!$B$9*$F$20</f>
        <v>43.5052000512</v>
      </c>
      <c r="G68" s="22" t="n">
        <f aca="false">(G65*$D$20)*Inputs!$B$8*$B$13*Inputs!$B$9*$F$20</f>
        <v>55.047307249152</v>
      </c>
      <c r="H68" s="22" t="n">
        <f aca="false">(H65*$D$20)*Inputs!$B$8*$B$13*Inputs!$B$9*$F$20</f>
        <v>67.455961679186</v>
      </c>
      <c r="I68" s="22" t="n">
        <f aca="false">(I65*$D$20)*Inputs!$B$8*$B$13*Inputs!$B$9*$F$20</f>
        <v>80.8293246040185</v>
      </c>
      <c r="J68" s="22" t="n">
        <f aca="false">(J65*$D$20)*Inputs!$B$8*$B$13*Inputs!$B$9*$F$20</f>
        <v>95.2749131510578</v>
      </c>
      <c r="K68" s="22" t="n">
        <f aca="false">(K65*$D$20)*Inputs!$B$8*$B$13*Inputs!$B$9*$F$20</f>
        <v>110.910554309335</v>
      </c>
      <c r="L68" s="22" t="n">
        <f aca="false">(L65*$D$20)*Inputs!$B$8*$B$13*Inputs!$B$9*$F$20</f>
        <v>127.865433589714</v>
      </c>
      <c r="M68" s="22" t="n">
        <f aca="false">(M65*$D$20)*Inputs!$B$8*$B$13*Inputs!$B$9*$F$20</f>
        <v>146.281247844153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30.2457216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89.495191296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157.97584866816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228.075593307034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276.388043587578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383.359419066732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455.977420418942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562.833632864614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643.957412367108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772.238282673811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890.267331957731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988.625702769175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623174.4</v>
      </c>
      <c r="C78" s="26" t="n">
        <f aca="false">C37+C47+C57+C67</f>
        <v>1823541.12</v>
      </c>
      <c r="D78" s="26" t="n">
        <f aca="false">D37+D47+D57+D67</f>
        <v>3181851.52704</v>
      </c>
      <c r="E78" s="26" t="n">
        <f aca="false">E37+E47+E57+E67</f>
        <v>4529246.6971584</v>
      </c>
      <c r="F78" s="26" t="n">
        <f aca="false">F37+F47+F57+F67</f>
        <v>5365180.72047283</v>
      </c>
      <c r="G78" s="26" t="n">
        <f aca="false">G37+G47+G57+G67</f>
        <v>7427897.05152798</v>
      </c>
      <c r="H78" s="26" t="n">
        <f aca="false">H37+H47+H57+H67</f>
        <v>8716443.7463868</v>
      </c>
      <c r="I78" s="26" t="n">
        <f aca="false">I37+I47+I57+I67</f>
        <v>10692002.6308742</v>
      </c>
      <c r="J78" s="26" t="n">
        <f aca="false">J37+J47+J57+J67</f>
        <v>12095208.2580492</v>
      </c>
      <c r="K78" s="26" t="n">
        <f aca="false">K37+K47+K57+K67</f>
        <v>14442515.7507388</v>
      </c>
      <c r="L78" s="26" t="n">
        <f aca="false">L37+L47+L57+L67</f>
        <v>16541904.4964335</v>
      </c>
      <c r="M78" s="26" t="n">
        <f aca="false">M37+M47+M57+M67</f>
        <v>18208401.228197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11.232</v>
      </c>
      <c r="C79" s="27" t="n">
        <f aca="false">C38+C48+C58+C68</f>
        <v>34.36992</v>
      </c>
      <c r="D79" s="27" t="n">
        <f aca="false">D38+D48+D58+D68</f>
        <v>58.9410432</v>
      </c>
      <c r="E79" s="27" t="n">
        <f aca="false">E38+E48+E58+E68</f>
        <v>85.123913472</v>
      </c>
      <c r="F79" s="27" t="n">
        <f aca="false">F38+F48+F58+F68</f>
        <v>113.11352013312</v>
      </c>
      <c r="G79" s="27" t="n">
        <f aca="false">G38+G48+G58+G68</f>
        <v>143.122998847795</v>
      </c>
      <c r="H79" s="27" t="n">
        <f aca="false">H38+H48+H58+H68</f>
        <v>175.385500365883</v>
      </c>
      <c r="I79" s="27" t="n">
        <f aca="false">I38+I48+I58+I68</f>
        <v>210.156243970448</v>
      </c>
      <c r="J79" s="27" t="n">
        <f aca="false">J38+J48+J58+J68</f>
        <v>247.71477419275</v>
      </c>
      <c r="K79" s="27" t="n">
        <f aca="false">K38+K48+K58+K68</f>
        <v>288.367441204272</v>
      </c>
      <c r="L79" s="27" t="n">
        <f aca="false">L38+L48+L58+L68</f>
        <v>332.450127333257</v>
      </c>
      <c r="M79" s="27" t="n">
        <f aca="false">M38+M48+M58+M68</f>
        <v>380.331244394797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118.24871616</v>
      </c>
      <c r="C80" s="29" t="n">
        <f aca="false">C39+C49+C59+C69</f>
        <v>344.0464869696</v>
      </c>
      <c r="D80" s="29" t="n">
        <f aca="false">D39+D49+D59+D69</f>
        <v>598.008730353216</v>
      </c>
      <c r="E80" s="29" t="n">
        <f aca="false">E39+E49+E59+E69</f>
        <v>851.601111127648</v>
      </c>
      <c r="F80" s="29" t="n">
        <f aca="false">F39+F49+F59+F69</f>
        <v>1019.91717898519</v>
      </c>
      <c r="G80" s="29" t="n">
        <f aca="false">G39+G49+G59+G69</f>
        <v>1398.66104782141</v>
      </c>
      <c r="H80" s="29" t="n">
        <f aca="false">H39+H49+H59+H69</f>
        <v>1647.89182658157</v>
      </c>
      <c r="I80" s="29" t="n">
        <f aca="false">I39+I49+I59+I69</f>
        <v>2016.25157740608</v>
      </c>
      <c r="J80" s="29" t="n">
        <f aca="false">J39+J49+J59+J69</f>
        <v>2289.91171638817</v>
      </c>
      <c r="K80" s="29" t="n">
        <f aca="false">K39+K49+K59+K69</f>
        <v>2726.95792409717</v>
      </c>
      <c r="L80" s="29" t="n">
        <f aca="false">L39+L49+L59+L69</f>
        <v>3125.06237281227</v>
      </c>
      <c r="M80" s="29" t="n">
        <f aca="false">M39+M49+M59+M69</f>
        <v>3453.12549556359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218.24871616</v>
      </c>
      <c r="C83" s="28" t="n">
        <f aca="false">C80+C81+C82</f>
        <v>444.0464869696</v>
      </c>
      <c r="D83" s="28" t="n">
        <f aca="false">D80+D81+D82</f>
        <v>798.008730353216</v>
      </c>
      <c r="E83" s="28" t="n">
        <f aca="false">E80+E81+E82</f>
        <v>1051.60111112765</v>
      </c>
      <c r="F83" s="28" t="n">
        <f aca="false">F80+F81+F82</f>
        <v>1319.91717898519</v>
      </c>
      <c r="G83" s="28" t="n">
        <f aca="false">G80+G81+G82</f>
        <v>1698.66104782141</v>
      </c>
      <c r="H83" s="28" t="n">
        <f aca="false">H80+H81+H82</f>
        <v>2047.89182658157</v>
      </c>
      <c r="I83" s="28" t="n">
        <f aca="false">I80+I81+I82</f>
        <v>2416.25157740608</v>
      </c>
      <c r="J83" s="28" t="n">
        <f aca="false">J80+J81+J82</f>
        <v>2789.91171638817</v>
      </c>
      <c r="K83" s="28" t="n">
        <f aca="false">K80+K81+K82</f>
        <v>3226.95792409717</v>
      </c>
      <c r="L83" s="28" t="n">
        <f aca="false">L80+L81+L82</f>
        <v>3725.06237281227</v>
      </c>
      <c r="M83" s="28" t="n">
        <f aca="false">M80+M81+M82</f>
        <v>4153.12549556359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-74.24871616</v>
      </c>
      <c r="C84" s="28" t="n">
        <f aca="false">C77-C83</f>
        <v>-3.40648696960011</v>
      </c>
      <c r="D84" s="28" t="n">
        <f aca="false">D77-D83</f>
        <v>-42.354330353216</v>
      </c>
      <c r="E84" s="28" t="n">
        <f aca="false">E77-E83</f>
        <v>39.7311128723527</v>
      </c>
      <c r="F84" s="28" t="n">
        <f aca="false">F77-F83</f>
        <v>130.256156054812</v>
      </c>
      <c r="G84" s="28" t="n">
        <f aca="false">G77-G83</f>
        <v>136.249193816986</v>
      </c>
      <c r="H84" s="28" t="n">
        <f aca="false">H77-H83</f>
        <v>200.640229391296</v>
      </c>
      <c r="I84" s="28" t="n">
        <f aca="false">I77-I83</f>
        <v>278.059242727873</v>
      </c>
      <c r="J84" s="28" t="n">
        <f aca="false">J77-J83</f>
        <v>385.918721980427</v>
      </c>
      <c r="K84" s="28" t="n">
        <f aca="false">K77-K83</f>
        <v>470.060552880675</v>
      </c>
      <c r="L84" s="28" t="n">
        <f aca="false">L77-L83</f>
        <v>537.118746844863</v>
      </c>
      <c r="M84" s="28" t="n">
        <f aca="false">M77-M83</f>
        <v>722.916099241501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-0.515616084444445</v>
      </c>
      <c r="C85" s="31" t="n">
        <f aca="false">IFERROR(C84/C77,0)</f>
        <v>-0.0077307710820627</v>
      </c>
      <c r="D85" s="31" t="n">
        <f aca="false">IFERROR(D84/D77,0)</f>
        <v>-0.0560498692963556</v>
      </c>
      <c r="E85" s="31" t="n">
        <f aca="false">IFERROR(E84/E77,0)</f>
        <v>0.0364060659060615</v>
      </c>
      <c r="F85" s="31" t="n">
        <f aca="false">IFERROR(F84/F77,0)</f>
        <v>0.0898210944219431</v>
      </c>
      <c r="G85" s="31" t="n">
        <f aca="false">IFERROR(G84/G77,0)</f>
        <v>0.0742538739635178</v>
      </c>
      <c r="H85" s="31" t="n">
        <f aca="false">IFERROR(H84/H77,0)</f>
        <v>0.0892316517606798</v>
      </c>
      <c r="I85" s="31" t="n">
        <f aca="false">IFERROR(I84/I77,0)</f>
        <v>0.103202362789773</v>
      </c>
      <c r="J85" s="31" t="n">
        <f aca="false">IFERROR(J84/J77,0)</f>
        <v>0.121517420236917</v>
      </c>
      <c r="K85" s="31" t="n">
        <f aca="false">IFERROR(K84/K77,0)</f>
        <v>0.127145848961223</v>
      </c>
      <c r="L85" s="31" t="n">
        <f aca="false">IFERROR(L84/L77,0)</f>
        <v>0.126019690802833</v>
      </c>
      <c r="M85" s="31" t="n">
        <f aca="false">IFERROR(M84/M77,0)</f>
        <v>0.148258804849346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720</v>
      </c>
      <c r="C86" s="29" t="n">
        <f aca="false">C27*$B$9</f>
        <v>792</v>
      </c>
      <c r="D86" s="29" t="n">
        <f aca="false">D27*$B$9</f>
        <v>871.2</v>
      </c>
      <c r="E86" s="29" t="n">
        <f aca="false">E27*$B$9</f>
        <v>958.32</v>
      </c>
      <c r="F86" s="29" t="n">
        <f aca="false">F27*$B$9</f>
        <v>1054.152</v>
      </c>
      <c r="G86" s="29" t="n">
        <f aca="false">G27*$B$9</f>
        <v>1159.5672</v>
      </c>
      <c r="H86" s="29" t="n">
        <f aca="false">H27*$B$9</f>
        <v>1275.52392</v>
      </c>
      <c r="I86" s="29" t="n">
        <f aca="false">I27*$B$9</f>
        <v>1403.076312</v>
      </c>
      <c r="J86" s="29" t="n">
        <f aca="false">J27*$B$9</f>
        <v>1543.3839432</v>
      </c>
      <c r="K86" s="29" t="n">
        <f aca="false">K27*$B$9</f>
        <v>1697.72233752</v>
      </c>
      <c r="L86" s="29" t="n">
        <f aca="false">L27*$B$9</f>
        <v>1867.494571272</v>
      </c>
      <c r="M86" s="29" t="n">
        <f aca="false">M27*$B$9</f>
        <v>2054.2440283992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870</v>
      </c>
      <c r="C91" s="28" t="n">
        <f aca="false">C86+C87+C88+C89+C90</f>
        <v>942</v>
      </c>
      <c r="D91" s="28" t="n">
        <f aca="false">D86+D87+D88+D89+D90</f>
        <v>1021.2</v>
      </c>
      <c r="E91" s="28" t="n">
        <f aca="false">E86+E87+E88+E89+E90</f>
        <v>2608.32</v>
      </c>
      <c r="F91" s="28" t="n">
        <f aca="false">F86+F87+F88+F89+F90</f>
        <v>2704.152</v>
      </c>
      <c r="G91" s="28" t="n">
        <f aca="false">G86+G87+G88+G89+G90</f>
        <v>2809.5672</v>
      </c>
      <c r="H91" s="28" t="n">
        <f aca="false">H86+H87+H88+H89+H90</f>
        <v>2925.52392</v>
      </c>
      <c r="I91" s="28" t="n">
        <f aca="false">I86+I87+I88+I89+I90</f>
        <v>3053.076312</v>
      </c>
      <c r="J91" s="28" t="n">
        <f aca="false">J86+J87+J88+J89+J90</f>
        <v>6193.3839432</v>
      </c>
      <c r="K91" s="28" t="n">
        <f aca="false">K86+K87+K88+K89+K90</f>
        <v>6347.72233752</v>
      </c>
      <c r="L91" s="28" t="n">
        <f aca="false">L86+L87+L88+L89+L90</f>
        <v>6517.494571272</v>
      </c>
      <c r="M91" s="28" t="n">
        <f aca="false">M86+M87+M88+M89+M90</f>
        <v>6704.2440283992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-944.24871616</v>
      </c>
      <c r="C92" s="28" t="n">
        <f aca="false">C84-C91</f>
        <v>-945.4064869696</v>
      </c>
      <c r="D92" s="28" t="n">
        <f aca="false">D84-D91</f>
        <v>-1063.55433035322</v>
      </c>
      <c r="E92" s="28" t="n">
        <f aca="false">E84-E91</f>
        <v>-2568.58888712765</v>
      </c>
      <c r="F92" s="28" t="n">
        <f aca="false">F84-F91</f>
        <v>-2573.89584394519</v>
      </c>
      <c r="G92" s="28" t="n">
        <f aca="false">G84-G91</f>
        <v>-2673.31800618301</v>
      </c>
      <c r="H92" s="28" t="n">
        <f aca="false">H84-H91</f>
        <v>-2724.8836906087</v>
      </c>
      <c r="I92" s="28" t="n">
        <f aca="false">I84-I91</f>
        <v>-2775.01706927213</v>
      </c>
      <c r="J92" s="28" t="n">
        <f aca="false">J84-J91</f>
        <v>-5807.46522121957</v>
      </c>
      <c r="K92" s="28" t="n">
        <f aca="false">K84-K91</f>
        <v>-5877.66178463933</v>
      </c>
      <c r="L92" s="28" t="n">
        <f aca="false">L84-L91</f>
        <v>-5980.37582442714</v>
      </c>
      <c r="M92" s="28" t="n">
        <f aca="false">M84-M91</f>
        <v>-5981.3279291577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-944.24871616</v>
      </c>
      <c r="C93" s="30" t="n">
        <f aca="false">B93+C92</f>
        <v>-1889.6552031296</v>
      </c>
      <c r="D93" s="30" t="n">
        <f aca="false">C93+D92</f>
        <v>-2953.20953348282</v>
      </c>
      <c r="E93" s="30" t="n">
        <f aca="false">D93+E92</f>
        <v>-5521.79842061046</v>
      </c>
      <c r="F93" s="30" t="n">
        <f aca="false">E93+F92</f>
        <v>-8095.69426455565</v>
      </c>
      <c r="G93" s="30" t="n">
        <f aca="false">F93+G92</f>
        <v>-10769.0122707387</v>
      </c>
      <c r="H93" s="30" t="n">
        <f aca="false">G93+H92</f>
        <v>-13493.8959613474</v>
      </c>
      <c r="I93" s="30" t="n">
        <f aca="false">H93+I92</f>
        <v>-16268.9130306195</v>
      </c>
      <c r="J93" s="30" t="n">
        <f aca="false">I93+J92</f>
        <v>-22076.3782518391</v>
      </c>
      <c r="K93" s="30" t="n">
        <f aca="false">J93+K92</f>
        <v>-27954.0400364784</v>
      </c>
      <c r="L93" s="30" t="n">
        <f aca="false">K93+L92</f>
        <v>-33934.4158609055</v>
      </c>
      <c r="M93" s="30" t="n">
        <f aca="false">L93+M92</f>
        <v>-39915.7437900632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14055.75128384</v>
      </c>
      <c r="C94" s="28" t="n">
        <f aca="false">Inputs!$B$49+C93</f>
        <v>13110.3447968704</v>
      </c>
      <c r="D94" s="28" t="n">
        <f aca="false">Inputs!$B$49+D93</f>
        <v>12046.7904665172</v>
      </c>
      <c r="E94" s="28" t="n">
        <f aca="false">Inputs!$B$49+E93</f>
        <v>9478.20157938954</v>
      </c>
      <c r="F94" s="28" t="n">
        <f aca="false">Inputs!$B$49+F93</f>
        <v>6904.30573544435</v>
      </c>
      <c r="G94" s="28" t="n">
        <f aca="false">Inputs!$B$49+G93</f>
        <v>4230.98772926134</v>
      </c>
      <c r="H94" s="28" t="n">
        <f aca="false">Inputs!$B$49+H93</f>
        <v>1506.10403865263</v>
      </c>
      <c r="I94" s="28" t="n">
        <f aca="false">Inputs!$B$49+I93</f>
        <v>-1268.9130306195</v>
      </c>
      <c r="J94" s="28" t="n">
        <f aca="false">Inputs!$B$49+J93</f>
        <v>-7076.37825183907</v>
      </c>
      <c r="K94" s="28" t="n">
        <f aca="false">Inputs!$B$49+K93</f>
        <v>-12954.0400364784</v>
      </c>
      <c r="L94" s="28" t="n">
        <f aca="false">Inputs!$B$49+L93</f>
        <v>-18934.4158609055</v>
      </c>
      <c r="M94" s="28" t="n">
        <f aca="false">Inputs!$B$49+M93</f>
        <v>-24915.7437900632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4055.75128384</v>
      </c>
      <c r="C95" s="30" t="n">
        <f aca="false">Inputs!$B$54+C93</f>
        <v>3110.3447968704</v>
      </c>
      <c r="D95" s="30" t="n">
        <f aca="false">Inputs!$B$54+D93</f>
        <v>2046.79046651718</v>
      </c>
      <c r="E95" s="30" t="n">
        <f aca="false">Inputs!$B$54+E93</f>
        <v>-521.798420610464</v>
      </c>
      <c r="F95" s="30" t="n">
        <f aca="false">Inputs!$B$54+F93</f>
        <v>-3095.69426455565</v>
      </c>
      <c r="G95" s="30" t="n">
        <f aca="false">Inputs!$B$54+G93</f>
        <v>-5769.01227073867</v>
      </c>
      <c r="H95" s="30" t="n">
        <f aca="false">Inputs!$B$54+H93</f>
        <v>-8493.89596134737</v>
      </c>
      <c r="I95" s="30" t="n">
        <f aca="false">Inputs!$B$54+I93</f>
        <v>-11268.9130306195</v>
      </c>
      <c r="J95" s="30" t="n">
        <f aca="false">Inputs!$B$54+J93</f>
        <v>-17076.3782518391</v>
      </c>
      <c r="K95" s="30" t="n">
        <f aca="false">Inputs!$B$54+K93</f>
        <v>-22954.0400364784</v>
      </c>
      <c r="L95" s="30" t="n">
        <f aca="false">Inputs!$B$54+L93</f>
        <v>-28934.4158609055</v>
      </c>
      <c r="M95" s="30" t="n">
        <f aca="false">Inputs!$B$54+M93</f>
        <v>-34915.7437900632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14055.75128384</v>
      </c>
      <c r="C96" s="29" t="n">
        <f aca="false">Inputs!$B$55+C93</f>
        <v>13110.3447968704</v>
      </c>
      <c r="D96" s="29" t="n">
        <f aca="false">Inputs!$B$55+D93</f>
        <v>12046.7904665172</v>
      </c>
      <c r="E96" s="29" t="n">
        <f aca="false">Inputs!$B$55+E93</f>
        <v>9478.20157938954</v>
      </c>
      <c r="F96" s="29" t="n">
        <f aca="false">Inputs!$B$55+F93</f>
        <v>6904.30573544435</v>
      </c>
      <c r="G96" s="29" t="n">
        <f aca="false">Inputs!$B$55+G93</f>
        <v>4230.98772926134</v>
      </c>
      <c r="H96" s="29" t="n">
        <f aca="false">Inputs!$B$55+H93</f>
        <v>1506.10403865263</v>
      </c>
      <c r="I96" s="29" t="n">
        <f aca="false">Inputs!$B$55+I93</f>
        <v>-1268.9130306195</v>
      </c>
      <c r="J96" s="29" t="n">
        <f aca="false">Inputs!$B$55+J93</f>
        <v>-7076.37825183907</v>
      </c>
      <c r="K96" s="29" t="n">
        <f aca="false">Inputs!$B$55+K93</f>
        <v>-12954.0400364784</v>
      </c>
      <c r="L96" s="29" t="n">
        <f aca="false">Inputs!$B$55+L93</f>
        <v>-18934.4158609055</v>
      </c>
      <c r="M96" s="29" t="n">
        <f aca="false">Inputs!$B$55+M93</f>
        <v>-24915.7437900632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29055.75128384</v>
      </c>
      <c r="C97" s="30" t="n">
        <f aca="false">Inputs!$B$56+C93</f>
        <v>28110.3447968704</v>
      </c>
      <c r="D97" s="30" t="n">
        <f aca="false">Inputs!$B$56+D93</f>
        <v>27046.7904665172</v>
      </c>
      <c r="E97" s="30" t="n">
        <f aca="false">Inputs!$B$56+E93</f>
        <v>24478.2015793895</v>
      </c>
      <c r="F97" s="30" t="n">
        <f aca="false">Inputs!$B$56+F93</f>
        <v>21904.3057354443</v>
      </c>
      <c r="G97" s="30" t="n">
        <f aca="false">Inputs!$B$56+G93</f>
        <v>19230.9877292613</v>
      </c>
      <c r="H97" s="30" t="n">
        <f aca="false">Inputs!$B$56+H93</f>
        <v>16506.1040386526</v>
      </c>
      <c r="I97" s="30" t="n">
        <f aca="false">Inputs!$B$56+I93</f>
        <v>13731.0869693805</v>
      </c>
      <c r="J97" s="30" t="n">
        <f aca="false">Inputs!$B$56+J93</f>
        <v>7923.62174816093</v>
      </c>
      <c r="K97" s="30" t="n">
        <f aca="false">Inputs!$B$56+K93</f>
        <v>2045.9599635216</v>
      </c>
      <c r="L97" s="30" t="n">
        <f aca="false">Inputs!$B$56+L93</f>
        <v>-3934.41586090554</v>
      </c>
      <c r="M97" s="30" t="n">
        <f aca="false">Inputs!$B$56+M93</f>
        <v>-9915.74379006324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36.3747860266667</v>
      </c>
      <c r="C100" s="29" t="n">
        <f aca="false">IFERROR(C83/C74,0)</f>
        <v>24.1855385059695</v>
      </c>
      <c r="D100" s="29" t="n">
        <f aca="false">IFERROR(D83/D74,0)</f>
        <v>25.3451968631125</v>
      </c>
      <c r="E100" s="29" t="n">
        <f aca="false">IFERROR(E83/E74,0)</f>
        <v>23.1262544182545</v>
      </c>
      <c r="F100" s="29" t="n">
        <f aca="false">IFERROR(F83/F74,0)</f>
        <v>21.8442937338734</v>
      </c>
      <c r="G100" s="29" t="n">
        <f aca="false">IFERROR(G83/G74,0)</f>
        <v>22.2179070248756</v>
      </c>
      <c r="H100" s="29" t="n">
        <f aca="false">IFERROR(H83/H74,0)</f>
        <v>21.8584403577437</v>
      </c>
      <c r="I100" s="29" t="n">
        <f aca="false">IFERROR(I83/I74,0)</f>
        <v>21.5231432930455</v>
      </c>
      <c r="J100" s="29" t="n">
        <f aca="false">IFERROR(J83/J74,0)</f>
        <v>21.083581914314</v>
      </c>
      <c r="K100" s="29" t="n">
        <f aca="false">IFERROR(K83/K74,0)</f>
        <v>20.9484996249307</v>
      </c>
      <c r="L100" s="29" t="n">
        <f aca="false">IFERROR(L83/L74,0)</f>
        <v>20.975527420732</v>
      </c>
      <c r="M100" s="29" t="n">
        <f aca="false">IFERROR(M83/M74,0)</f>
        <v>20.4417886836157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-12.3747860266667</v>
      </c>
      <c r="C101" s="30" t="n">
        <f aca="false">C98-C100</f>
        <v>-0.185538505969504</v>
      </c>
      <c r="D101" s="30" t="n">
        <f aca="false">D98-D100</f>
        <v>-1.34519686311253</v>
      </c>
      <c r="E101" s="30" t="n">
        <f aca="false">E98-E100</f>
        <v>0.873745581745478</v>
      </c>
      <c r="F101" s="30" t="n">
        <f aca="false">F98-F100</f>
        <v>2.15570626612664</v>
      </c>
      <c r="G101" s="30" t="n">
        <f aca="false">G98-G100</f>
        <v>1.78209297512442</v>
      </c>
      <c r="H101" s="30" t="n">
        <f aca="false">H98-H100</f>
        <v>2.14155964225632</v>
      </c>
      <c r="I101" s="30" t="n">
        <f aca="false">I98-I100</f>
        <v>2.47685670695454</v>
      </c>
      <c r="J101" s="30" t="n">
        <f aca="false">J98-J100</f>
        <v>2.916418085686</v>
      </c>
      <c r="K101" s="30" t="n">
        <f aca="false">K98-K100</f>
        <v>3.05150037506935</v>
      </c>
      <c r="L101" s="30" t="n">
        <f aca="false">L98-L100</f>
        <v>3.02447257926798</v>
      </c>
      <c r="M101" s="30" t="n">
        <f aca="false">M98-M100</f>
        <v>3.5582113163843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21.843639543637</v>
      </c>
      <c r="F102" s="32" t="n">
        <f aca="false">IF(F101&gt;0,F101/$B$7,0)</f>
        <v>53.8926566531659</v>
      </c>
      <c r="G102" s="32" t="n">
        <f aca="false">IF(G101&gt;0,G101/$B$7,0)</f>
        <v>44.5523243781106</v>
      </c>
      <c r="H102" s="32" t="n">
        <f aca="false">IF(H101&gt;0,H101/$B$7,0)</f>
        <v>53.538991056408</v>
      </c>
      <c r="I102" s="32" t="n">
        <f aca="false">IF(I101&gt;0,I101/$B$7,0)</f>
        <v>61.9214176738636</v>
      </c>
      <c r="J102" s="32" t="n">
        <f aca="false">IF(J101&gt;0,J101/$B$7,0)</f>
        <v>72.9104521421499</v>
      </c>
      <c r="K102" s="32" t="n">
        <f aca="false">IF(K101&gt;0,K101/$B$7,0)</f>
        <v>76.2875093767336</v>
      </c>
      <c r="L102" s="32" t="n">
        <f aca="false">IF(L101&gt;0,L101/$B$7,0)</f>
        <v>75.6118144816995</v>
      </c>
      <c r="M102" s="32" t="n">
        <f aca="false">IF(M101&gt;0,M101/$B$7,0)</f>
        <v>88.9552829096075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0.364060659060616</v>
      </c>
      <c r="F103" s="33" t="n">
        <f aca="false">IF(F101&gt;0,F102/$B$9,0)</f>
        <v>0.898210944219432</v>
      </c>
      <c r="G103" s="33" t="n">
        <f aca="false">IF(G101&gt;0,G102/$B$9,0)</f>
        <v>0.742538739635177</v>
      </c>
      <c r="H103" s="33" t="n">
        <f aca="false">IF(H101&gt;0,H102/$B$9,0)</f>
        <v>0.892316517606799</v>
      </c>
      <c r="I103" s="33" t="n">
        <f aca="false">IF(I101&gt;0,I102/$B$9,0)</f>
        <v>1.03202362789773</v>
      </c>
      <c r="J103" s="33" t="n">
        <f aca="false">IF(J101&gt;0,J102/$B$9,0)</f>
        <v>1.21517420236917</v>
      </c>
      <c r="K103" s="33" t="n">
        <f aca="false">IF(K101&gt;0,K102/$B$9,0)</f>
        <v>1.27145848961223</v>
      </c>
      <c r="L103" s="33" t="n">
        <f aca="false">IF(L101&gt;0,L102/$B$9,0)</f>
        <v>1.26019690802832</v>
      </c>
      <c r="M103" s="33" t="n">
        <f aca="false">IF(M101&gt;0,M102/$B$9,0)</f>
        <v>1.48258804849346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68.6698751370373</v>
      </c>
      <c r="F104" s="32" t="n">
        <f aca="false">IF(F101&gt;0,$B$9/F101,0)</f>
        <v>27.8331055314914</v>
      </c>
      <c r="G104" s="32" t="n">
        <f aca="false">IF(G101&gt;0,$B$9/G101,0)</f>
        <v>33.6682770413877</v>
      </c>
      <c r="H104" s="32" t="n">
        <f aca="false">IF(H101&gt;0,$B$9/H101,0)</f>
        <v>28.0169642797269</v>
      </c>
      <c r="I104" s="32" t="n">
        <f aca="false">IF(I101&gt;0,$B$9/I101,0)</f>
        <v>24.2242515812608</v>
      </c>
      <c r="J104" s="32" t="n">
        <f aca="false">IF(J101&gt;0,$B$9/J101,0)</f>
        <v>20.5731819777434</v>
      </c>
      <c r="K104" s="32" t="n">
        <f aca="false">IF(K101&gt;0,$B$9/K101,0)</f>
        <v>19.6624586679386</v>
      </c>
      <c r="L104" s="32" t="n">
        <f aca="false">IF(L101&gt;0,$B$9/L101,0)</f>
        <v>19.8381696072516</v>
      </c>
      <c r="M104" s="32" t="n">
        <f aca="false">IF(M101&gt;0,$B$9/M101,0)</f>
        <v>16.8624049178084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17" t="n">
        <v>0.06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9</v>
      </c>
      <c r="C27" s="21" t="n">
        <f aca="false">C26*$B$6</f>
        <v>9.9</v>
      </c>
      <c r="D27" s="21" t="n">
        <f aca="false">D26*$B$6</f>
        <v>10.89</v>
      </c>
      <c r="E27" s="21" t="n">
        <f aca="false">E26*$B$6</f>
        <v>11.979</v>
      </c>
      <c r="F27" s="21" t="n">
        <f aca="false">F26*$B$6</f>
        <v>13.1769</v>
      </c>
      <c r="G27" s="21" t="n">
        <f aca="false">G26*$B$6</f>
        <v>14.49459</v>
      </c>
      <c r="H27" s="21" t="n">
        <f aca="false">H26*$B$6</f>
        <v>15.944049</v>
      </c>
      <c r="I27" s="21" t="n">
        <f aca="false">I26*$B$6</f>
        <v>17.5384539</v>
      </c>
      <c r="J27" s="21" t="n">
        <f aca="false">J26*$B$6</f>
        <v>19.29229929</v>
      </c>
      <c r="K27" s="21" t="n">
        <f aca="false">K26*$B$6</f>
        <v>21.221529219</v>
      </c>
      <c r="L27" s="21" t="n">
        <f aca="false">L26*$B$6</f>
        <v>23.3436821409</v>
      </c>
      <c r="M27" s="21" t="n">
        <f aca="false">M26*$B$6</f>
        <v>25.67805035499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141</v>
      </c>
      <c r="C28" s="22" t="n">
        <f aca="false">C26-C27</f>
        <v>155.1</v>
      </c>
      <c r="D28" s="22" t="n">
        <f aca="false">D26-D27</f>
        <v>170.61</v>
      </c>
      <c r="E28" s="22" t="n">
        <f aca="false">E26-E27</f>
        <v>187.671</v>
      </c>
      <c r="F28" s="22" t="n">
        <f aca="false">F26-F27</f>
        <v>206.4381</v>
      </c>
      <c r="G28" s="22" t="n">
        <f aca="false">G26-G27</f>
        <v>227.08191</v>
      </c>
      <c r="H28" s="22" t="n">
        <f aca="false">H26-H27</f>
        <v>249.790101</v>
      </c>
      <c r="I28" s="22" t="n">
        <f aca="false">I26-I27</f>
        <v>274.7691111</v>
      </c>
      <c r="J28" s="22" t="n">
        <f aca="false">J26-J27</f>
        <v>302.24602221</v>
      </c>
      <c r="K28" s="22" t="n">
        <f aca="false">K26-K27</f>
        <v>332.470624431</v>
      </c>
      <c r="L28" s="22" t="n">
        <f aca="false">L26-L27</f>
        <v>365.7176868741</v>
      </c>
      <c r="M28" s="22" t="n">
        <f aca="false">M26-M27</f>
        <v>402.28945556151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141</v>
      </c>
      <c r="D31" s="21" t="n">
        <f aca="false">C34</f>
        <v>274.95</v>
      </c>
      <c r="E31" s="21" t="n">
        <f aca="false">D34</f>
        <v>404.3175</v>
      </c>
      <c r="F31" s="21" t="n">
        <f aca="false">E34</f>
        <v>531.340875</v>
      </c>
      <c r="G31" s="21" t="n">
        <f aca="false">F34</f>
        <v>658.07784375</v>
      </c>
      <c r="H31" s="21" t="n">
        <f aca="false">G34</f>
        <v>786.4480771875</v>
      </c>
      <c r="I31" s="21" t="n">
        <f aca="false">H34</f>
        <v>918.270966609375</v>
      </c>
      <c r="J31" s="21" t="n">
        <f aca="false">I34</f>
        <v>1055.29943271797</v>
      </c>
      <c r="K31" s="21" t="n">
        <f aca="false">J34</f>
        <v>1199.25054002027</v>
      </c>
      <c r="L31" s="21" t="n">
        <f aca="false">K34</f>
        <v>1351.83358344823</v>
      </c>
      <c r="M31" s="21" t="n">
        <f aca="false">L34</f>
        <v>1514.7762328051</v>
      </c>
    </row>
    <row r="32" customFormat="false" ht="15" hidden="false" customHeight="false" outlineLevel="0" collapsed="false">
      <c r="A32" s="2" t="s">
        <v>112</v>
      </c>
      <c r="B32" s="22" t="n">
        <f aca="false">B28</f>
        <v>141</v>
      </c>
      <c r="C32" s="22" t="n">
        <f aca="false">C28</f>
        <v>155.1</v>
      </c>
      <c r="D32" s="22" t="n">
        <f aca="false">D28</f>
        <v>170.61</v>
      </c>
      <c r="E32" s="22" t="n">
        <f aca="false">E28</f>
        <v>187.671</v>
      </c>
      <c r="F32" s="22" t="n">
        <f aca="false">F28</f>
        <v>206.4381</v>
      </c>
      <c r="G32" s="22" t="n">
        <f aca="false">G28</f>
        <v>227.08191</v>
      </c>
      <c r="H32" s="22" t="n">
        <f aca="false">H28</f>
        <v>249.790101</v>
      </c>
      <c r="I32" s="22" t="n">
        <f aca="false">I28</f>
        <v>274.7691111</v>
      </c>
      <c r="J32" s="22" t="n">
        <f aca="false">J28</f>
        <v>302.24602221</v>
      </c>
      <c r="K32" s="22" t="n">
        <f aca="false">K28</f>
        <v>332.470624431</v>
      </c>
      <c r="L32" s="22" t="n">
        <f aca="false">L28</f>
        <v>365.7176868741</v>
      </c>
      <c r="M32" s="22" t="n">
        <f aca="false">M28</f>
        <v>402.28945556151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21.15</v>
      </c>
      <c r="D33" s="21" t="n">
        <f aca="false">D31*$B$8</f>
        <v>41.2425</v>
      </c>
      <c r="E33" s="21" t="n">
        <f aca="false">E31*$B$8</f>
        <v>60.647625</v>
      </c>
      <c r="F33" s="21" t="n">
        <f aca="false">F31*$B$8</f>
        <v>79.70113125</v>
      </c>
      <c r="G33" s="21" t="n">
        <f aca="false">G31*$B$8</f>
        <v>98.7116765625</v>
      </c>
      <c r="H33" s="21" t="n">
        <f aca="false">H31*$B$8</f>
        <v>117.967211578125</v>
      </c>
      <c r="I33" s="21" t="n">
        <f aca="false">I31*$B$8</f>
        <v>137.740644991406</v>
      </c>
      <c r="J33" s="21" t="n">
        <f aca="false">J31*$B$8</f>
        <v>158.294914907695</v>
      </c>
      <c r="K33" s="21" t="n">
        <f aca="false">K31*$B$8</f>
        <v>179.887581003041</v>
      </c>
      <c r="L33" s="21" t="n">
        <f aca="false">L31*$B$8</f>
        <v>202.775037517235</v>
      </c>
      <c r="M33" s="21" t="n">
        <f aca="false">M31*$B$8</f>
        <v>227.216434920765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141</v>
      </c>
      <c r="C34" s="22" t="n">
        <f aca="false">C31+C32-C33</f>
        <v>274.95</v>
      </c>
      <c r="D34" s="22" t="n">
        <f aca="false">D31+D32-D33</f>
        <v>404.3175</v>
      </c>
      <c r="E34" s="22" t="n">
        <f aca="false">E31+E32-E33</f>
        <v>531.340875</v>
      </c>
      <c r="F34" s="22" t="n">
        <f aca="false">F31+F32-F33</f>
        <v>658.07784375</v>
      </c>
      <c r="G34" s="22" t="n">
        <f aca="false">G31+G32-G33</f>
        <v>786.4480771875</v>
      </c>
      <c r="H34" s="22" t="n">
        <f aca="false">H31+H32-H33</f>
        <v>918.270966609375</v>
      </c>
      <c r="I34" s="22" t="n">
        <f aca="false">I31+I32-I33</f>
        <v>1055.29943271797</v>
      </c>
      <c r="J34" s="22" t="n">
        <f aca="false">J31+J32-J33</f>
        <v>1199.25054002027</v>
      </c>
      <c r="K34" s="22" t="n">
        <f aca="false">K31+K32-K33</f>
        <v>1351.83358344823</v>
      </c>
      <c r="L34" s="22" t="n">
        <f aca="false">L31+L32-L33</f>
        <v>1514.7762328051</v>
      </c>
      <c r="M34" s="22" t="n">
        <f aca="false">M31+M32-M33</f>
        <v>1689.84925344584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70.5</v>
      </c>
      <c r="C35" s="21" t="n">
        <f aca="false">(C31+C34)/2</f>
        <v>207.975</v>
      </c>
      <c r="D35" s="21" t="n">
        <f aca="false">(D31+D34)/2</f>
        <v>339.63375</v>
      </c>
      <c r="E35" s="21" t="n">
        <f aca="false">(E31+E34)/2</f>
        <v>467.8291875</v>
      </c>
      <c r="F35" s="21" t="n">
        <f aca="false">(F31+F34)/2</f>
        <v>594.709359375</v>
      </c>
      <c r="G35" s="21" t="n">
        <f aca="false">(G31+G34)/2</f>
        <v>722.26296046875</v>
      </c>
      <c r="H35" s="21" t="n">
        <f aca="false">(H31+H34)/2</f>
        <v>852.359521898438</v>
      </c>
      <c r="I35" s="21" t="n">
        <f aca="false">(I31+I34)/2</f>
        <v>986.785199663672</v>
      </c>
      <c r="J35" s="21" t="n">
        <f aca="false">(J31+J34)/2</f>
        <v>1127.27498636912</v>
      </c>
      <c r="K35" s="21" t="n">
        <f aca="false">(K31+K34)/2</f>
        <v>1275.54206173425</v>
      </c>
      <c r="L35" s="21" t="n">
        <f aca="false">(L31+L34)/2</f>
        <v>1433.30490812667</v>
      </c>
      <c r="M35" s="21" t="n">
        <f aca="false">(M31+M34)/2</f>
        <v>1602.31274312547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209808</v>
      </c>
      <c r="C37" s="21" t="n">
        <f aca="false">(C35*$D$17)*DAY(EOMONTH(C$25,0))*1440/$E$17*$B$12</f>
        <v>598968</v>
      </c>
      <c r="D37" s="21" t="n">
        <f aca="false">(D35*$D$17)*DAY(EOMONTH(D$25,0))*1440/$E$17*$B$12</f>
        <v>1010750.04</v>
      </c>
      <c r="E37" s="21" t="n">
        <f aca="false">(E35*$D$17)*DAY(EOMONTH(E$25,0))*1440/$E$17*$B$12</f>
        <v>1392259.662</v>
      </c>
      <c r="F37" s="21" t="n">
        <f aca="false">(F35*$D$17)*DAY(EOMONTH(F$25,0))*1440/$E$17*$B$12</f>
        <v>1598578.758</v>
      </c>
      <c r="G37" s="21" t="n">
        <f aca="false">(G35*$D$17)*DAY(EOMONTH(G$25,0))*1440/$E$17*$B$12</f>
        <v>2149454.570355</v>
      </c>
      <c r="H37" s="21" t="n">
        <f aca="false">(H35*$D$17)*DAY(EOMONTH(H$25,0))*1440/$E$17*$B$12</f>
        <v>2454795.4230675</v>
      </c>
      <c r="I37" s="21" t="n">
        <f aca="false">(I35*$D$17)*DAY(EOMONTH(I$25,0))*1440/$E$17*$B$12</f>
        <v>2936672.75419909</v>
      </c>
      <c r="J37" s="21" t="n">
        <f aca="false">(J35*$D$17)*DAY(EOMONTH(J$25,0))*1440/$E$17*$B$12</f>
        <v>3246551.96074307</v>
      </c>
      <c r="K37" s="21" t="n">
        <f aca="false">(K35*$D$17)*DAY(EOMONTH(K$25,0))*1440/$E$17*$B$12</f>
        <v>3796013.17572114</v>
      </c>
      <c r="L37" s="21" t="n">
        <f aca="false">(L35*$D$17)*DAY(EOMONTH(L$25,0))*1440/$E$17*$B$12</f>
        <v>4265515.40658496</v>
      </c>
      <c r="M37" s="21" t="n">
        <f aca="false">(M35*$D$17)*DAY(EOMONTH(M$25,0))*1440/$E$17*$B$12</f>
        <v>4614660.70020136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35.86476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102.40689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172.7784813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237.994064265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273.42357506625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367.429613249663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419.701828582791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501.997366772904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555.070203288156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648.89375764545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729.150872862198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788.978794714982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5.4</v>
      </c>
      <c r="D41" s="21" t="n">
        <f aca="false">C44</f>
        <v>11.124</v>
      </c>
      <c r="E41" s="21" t="n">
        <f aca="false">D44</f>
        <v>17.21304</v>
      </c>
      <c r="F41" s="21" t="n">
        <f aca="false">E44</f>
        <v>23.7119184</v>
      </c>
      <c r="G41" s="21" t="n">
        <f aca="false">F44</f>
        <v>30.669581664</v>
      </c>
      <c r="H41" s="21" t="n">
        <f aca="false">G44</f>
        <v>38.13955239744</v>
      </c>
      <c r="I41" s="21" t="n">
        <f aca="false">H44</f>
        <v>46.1803997015424</v>
      </c>
      <c r="J41" s="21" t="n">
        <f aca="false">I44</f>
        <v>54.8562560534807</v>
      </c>
      <c r="K41" s="21" t="n">
        <f aca="false">J44</f>
        <v>64.2373853853415</v>
      </c>
      <c r="L41" s="21" t="n">
        <f aca="false">K44</f>
        <v>74.4008075013279</v>
      </c>
      <c r="M41" s="21" t="n">
        <f aca="false">L44</f>
        <v>85.4309844858147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5.4</v>
      </c>
      <c r="C42" s="22" t="n">
        <f aca="false">C27*$C$18</f>
        <v>5.94</v>
      </c>
      <c r="D42" s="22" t="n">
        <f aca="false">D27*$C$18</f>
        <v>6.534</v>
      </c>
      <c r="E42" s="22" t="n">
        <f aca="false">E27*$C$18</f>
        <v>7.1874</v>
      </c>
      <c r="F42" s="22" t="n">
        <f aca="false">F27*$C$18</f>
        <v>7.90614</v>
      </c>
      <c r="G42" s="22" t="n">
        <f aca="false">G27*$C$18</f>
        <v>8.696754</v>
      </c>
      <c r="H42" s="22" t="n">
        <f aca="false">H27*$C$18</f>
        <v>9.5664294</v>
      </c>
      <c r="I42" s="22" t="n">
        <f aca="false">I27*$C$18</f>
        <v>10.52307234</v>
      </c>
      <c r="J42" s="22" t="n">
        <f aca="false">J27*$C$18</f>
        <v>11.575379574</v>
      </c>
      <c r="K42" s="22" t="n">
        <f aca="false">K27*$C$18</f>
        <v>12.7329175314</v>
      </c>
      <c r="L42" s="22" t="n">
        <f aca="false">L27*$C$18</f>
        <v>14.00620928454</v>
      </c>
      <c r="M42" s="22" t="n">
        <f aca="false">M27*$C$18</f>
        <v>15.406830212994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0.216</v>
      </c>
      <c r="D43" s="21" t="n">
        <f aca="false">D41*$B$7</f>
        <v>0.44496</v>
      </c>
      <c r="E43" s="21" t="n">
        <f aca="false">E41*$B$7</f>
        <v>0.6885216</v>
      </c>
      <c r="F43" s="21" t="n">
        <f aca="false">F41*$B$7</f>
        <v>0.948476736</v>
      </c>
      <c r="G43" s="21" t="n">
        <f aca="false">G41*$B$7</f>
        <v>1.22678326656</v>
      </c>
      <c r="H43" s="21" t="n">
        <f aca="false">H41*$B$7</f>
        <v>1.5255820958976</v>
      </c>
      <c r="I43" s="21" t="n">
        <f aca="false">I41*$B$7</f>
        <v>1.8472159880617</v>
      </c>
      <c r="J43" s="21" t="n">
        <f aca="false">J41*$B$7</f>
        <v>2.19425024213923</v>
      </c>
      <c r="K43" s="21" t="n">
        <f aca="false">K41*$B$7</f>
        <v>2.56949541541366</v>
      </c>
      <c r="L43" s="21" t="n">
        <f aca="false">L41*$B$7</f>
        <v>2.97603230005311</v>
      </c>
      <c r="M43" s="21" t="n">
        <f aca="false">M41*$B$7</f>
        <v>3.41723937943259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5.4</v>
      </c>
      <c r="C44" s="22" t="n">
        <f aca="false">C41+C42-C43</f>
        <v>11.124</v>
      </c>
      <c r="D44" s="22" t="n">
        <f aca="false">D41+D42-D43</f>
        <v>17.21304</v>
      </c>
      <c r="E44" s="22" t="n">
        <f aca="false">E41+E42-E43</f>
        <v>23.7119184</v>
      </c>
      <c r="F44" s="22" t="n">
        <f aca="false">F41+F42-F43</f>
        <v>30.669581664</v>
      </c>
      <c r="G44" s="22" t="n">
        <f aca="false">G41+G42-G43</f>
        <v>38.13955239744</v>
      </c>
      <c r="H44" s="22" t="n">
        <f aca="false">H41+H42-H43</f>
        <v>46.1803997015424</v>
      </c>
      <c r="I44" s="22" t="n">
        <f aca="false">I41+I42-I43</f>
        <v>54.8562560534807</v>
      </c>
      <c r="J44" s="22" t="n">
        <f aca="false">J41+J42-J43</f>
        <v>64.2373853853415</v>
      </c>
      <c r="K44" s="22" t="n">
        <f aca="false">K41+K42-K43</f>
        <v>74.4008075013279</v>
      </c>
      <c r="L44" s="22" t="n">
        <f aca="false">L41+L42-L43</f>
        <v>85.4309844858147</v>
      </c>
      <c r="M44" s="22" t="n">
        <f aca="false">M41+M42-M43</f>
        <v>97.4205753193762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2.7</v>
      </c>
      <c r="C45" s="21" t="n">
        <f aca="false">(C41+C44)/2</f>
        <v>8.262</v>
      </c>
      <c r="D45" s="21" t="n">
        <f aca="false">(D41+D44)/2</f>
        <v>14.16852</v>
      </c>
      <c r="E45" s="21" t="n">
        <f aca="false">(E41+E44)/2</f>
        <v>20.4624792</v>
      </c>
      <c r="F45" s="21" t="n">
        <f aca="false">(F41+F44)/2</f>
        <v>27.190750032</v>
      </c>
      <c r="G45" s="21" t="n">
        <f aca="false">(G41+G44)/2</f>
        <v>34.40456703072</v>
      </c>
      <c r="H45" s="21" t="n">
        <f aca="false">(H41+H44)/2</f>
        <v>42.1599760494912</v>
      </c>
      <c r="I45" s="21" t="n">
        <f aca="false">(I41+I44)/2</f>
        <v>50.5183278775116</v>
      </c>
      <c r="J45" s="21" t="n">
        <f aca="false">(J41+J44)/2</f>
        <v>59.5468207194111</v>
      </c>
      <c r="K45" s="21" t="n">
        <f aca="false">(K41+K44)/2</f>
        <v>69.3190964433347</v>
      </c>
      <c r="L45" s="21" t="n">
        <f aca="false">(L41+L44)/2</f>
        <v>79.9158959935713</v>
      </c>
      <c r="M45" s="21" t="n">
        <f aca="false">(M41+M44)/2</f>
        <v>91.4257799025955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24.3</v>
      </c>
      <c r="C46" s="22" t="n">
        <f aca="false">C45*$B$18</f>
        <v>74.358</v>
      </c>
      <c r="D46" s="22" t="n">
        <f aca="false">D45*$B$18</f>
        <v>127.51668</v>
      </c>
      <c r="E46" s="22" t="n">
        <f aca="false">E45*$B$18</f>
        <v>184.1623128</v>
      </c>
      <c r="F46" s="22" t="n">
        <f aca="false">F45*$B$18</f>
        <v>244.716750288</v>
      </c>
      <c r="G46" s="22" t="n">
        <f aca="false">G45*$B$18</f>
        <v>309.64110327648</v>
      </c>
      <c r="H46" s="22" t="n">
        <f aca="false">H45*$B$18</f>
        <v>379.439784445421</v>
      </c>
      <c r="I46" s="22" t="n">
        <f aca="false">I45*$B$18</f>
        <v>454.664950897604</v>
      </c>
      <c r="J46" s="22" t="n">
        <f aca="false">J45*$B$18</f>
        <v>535.9213864747</v>
      </c>
      <c r="K46" s="22" t="n">
        <f aca="false">K45*$B$18</f>
        <v>623.871867990012</v>
      </c>
      <c r="L46" s="22" t="n">
        <f aca="false">L45*$B$18</f>
        <v>719.243063942142</v>
      </c>
      <c r="M46" s="22" t="n">
        <f aca="false">M45*$B$18</f>
        <v>822.832019123359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72316.8</v>
      </c>
      <c r="C47" s="21" t="n">
        <f aca="false">(C45*$D$18)*DAY(EOMONTH(C$25,0))*1440/$E$18*$B$12</f>
        <v>214151.04</v>
      </c>
      <c r="D47" s="21" t="n">
        <f aca="false">(D45*$D$18)*DAY(EOMONTH(D$25,0))*1440/$E$18*$B$12</f>
        <v>379489.63968</v>
      </c>
      <c r="E47" s="21" t="n">
        <f aca="false">(E45*$D$18)*DAY(EOMONTH(E$25,0))*1440/$E$18*$B$12</f>
        <v>548067.0428928</v>
      </c>
      <c r="F47" s="21" t="n">
        <f aca="false">(F45*$D$18)*DAY(EOMONTH(F$25,0))*1440/$E$18*$B$12</f>
        <v>657798.624774144</v>
      </c>
      <c r="G47" s="21" t="n">
        <f aca="false">(G45*$D$18)*DAY(EOMONTH(G$25,0))*1440/$E$18*$B$12</f>
        <v>921491.923350805</v>
      </c>
      <c r="H47" s="21" t="n">
        <f aca="false">(H45*$D$18)*DAY(EOMONTH(H$25,0))*1440/$E$18*$B$12</f>
        <v>1092786.57920281</v>
      </c>
      <c r="I47" s="21" t="n">
        <f aca="false">(I45*$D$18)*DAY(EOMONTH(I$25,0))*1440/$E$18*$B$12</f>
        <v>1353082.89387127</v>
      </c>
      <c r="J47" s="21" t="n">
        <f aca="false">(J45*$D$18)*DAY(EOMONTH(J$25,0))*1440/$E$18*$B$12</f>
        <v>1543453.59304714</v>
      </c>
      <c r="K47" s="21" t="n">
        <f aca="false">(K45*$D$18)*DAY(EOMONTH(K$25,0))*1440/$E$18*$B$12</f>
        <v>1856642.67913828</v>
      </c>
      <c r="L47" s="21" t="n">
        <f aca="false">(L45*$D$18)*DAY(EOMONTH(L$25,0))*1440/$E$18*$B$12</f>
        <v>2140467.35829181</v>
      </c>
      <c r="M47" s="21" t="n">
        <f aca="false">(M45*$D$18)*DAY(EOMONTH(M$25,0))*1440/$E$18*$B$12</f>
        <v>2369756.21507527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1.944</v>
      </c>
      <c r="C48" s="22" t="n">
        <f aca="false">(C45*$D$18)*Inputs!$B$8*$B$13*Inputs!$B$9*$F$18</f>
        <v>5.94864</v>
      </c>
      <c r="D48" s="22" t="n">
        <f aca="false">(D45*$D$18)*Inputs!$B$8*$B$13*Inputs!$B$9*$F$18</f>
        <v>10.2013344</v>
      </c>
      <c r="E48" s="22" t="n">
        <f aca="false">(E45*$D$18)*Inputs!$B$8*$B$13*Inputs!$B$9*$F$18</f>
        <v>14.732985024</v>
      </c>
      <c r="F48" s="22" t="n">
        <f aca="false">(F45*$D$18)*Inputs!$B$8*$B$13*Inputs!$B$9*$F$18</f>
        <v>19.57734002304</v>
      </c>
      <c r="G48" s="22" t="n">
        <f aca="false">(G45*$D$18)*Inputs!$B$8*$B$13*Inputs!$B$9*$F$18</f>
        <v>24.7712882621184</v>
      </c>
      <c r="H48" s="22" t="n">
        <f aca="false">(H45*$D$18)*Inputs!$B$8*$B$13*Inputs!$B$9*$F$18</f>
        <v>30.3551827556337</v>
      </c>
      <c r="I48" s="22" t="n">
        <f aca="false">(I45*$D$18)*Inputs!$B$8*$B$13*Inputs!$B$9*$F$18</f>
        <v>36.3731960718083</v>
      </c>
      <c r="J48" s="22" t="n">
        <f aca="false">(J45*$D$18)*Inputs!$B$8*$B$13*Inputs!$B$9*$F$18</f>
        <v>42.873710917976</v>
      </c>
      <c r="K48" s="22" t="n">
        <f aca="false">(K45*$D$18)*Inputs!$B$8*$B$13*Inputs!$B$9*$F$18</f>
        <v>49.909749439201</v>
      </c>
      <c r="L48" s="22" t="n">
        <f aca="false">(L45*$D$18)*Inputs!$B$8*$B$13*Inputs!$B$9*$F$18</f>
        <v>57.5394451153713</v>
      </c>
      <c r="M48" s="22" t="n">
        <f aca="false">(M45*$D$18)*Inputs!$B$8*$B$13*Inputs!$B$9*$F$18</f>
        <v>65.8265615298687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16.19609472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46.7265272832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81.653426652672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117.581366270085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144.010263877053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197.176764919367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235.264553106208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289.182777645165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331.991681951667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396.54309990331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457.059543359064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509.364527269684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2.7</v>
      </c>
      <c r="D51" s="21" t="n">
        <f aca="false">C54</f>
        <v>5.562</v>
      </c>
      <c r="E51" s="21" t="n">
        <f aca="false">D54</f>
        <v>8.60652</v>
      </c>
      <c r="F51" s="21" t="n">
        <f aca="false">E54</f>
        <v>11.8559592</v>
      </c>
      <c r="G51" s="21" t="n">
        <f aca="false">F54</f>
        <v>15.334790832</v>
      </c>
      <c r="H51" s="21" t="n">
        <f aca="false">G54</f>
        <v>19.06977619872</v>
      </c>
      <c r="I51" s="21" t="n">
        <f aca="false">H54</f>
        <v>23.0901998507712</v>
      </c>
      <c r="J51" s="21" t="n">
        <f aca="false">I54</f>
        <v>27.4281280267404</v>
      </c>
      <c r="K51" s="21" t="n">
        <f aca="false">J54</f>
        <v>32.1186926926708</v>
      </c>
      <c r="L51" s="21" t="n">
        <f aca="false">K54</f>
        <v>37.2004037506639</v>
      </c>
      <c r="M51" s="21" t="n">
        <f aca="false">L54</f>
        <v>42.7154922429074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2.7</v>
      </c>
      <c r="C52" s="22" t="n">
        <f aca="false">C27*$C$19</f>
        <v>2.97</v>
      </c>
      <c r="D52" s="22" t="n">
        <f aca="false">D27*$C$19</f>
        <v>3.267</v>
      </c>
      <c r="E52" s="22" t="n">
        <f aca="false">E27*$C$19</f>
        <v>3.5937</v>
      </c>
      <c r="F52" s="22" t="n">
        <f aca="false">F27*$C$19</f>
        <v>3.95307</v>
      </c>
      <c r="G52" s="22" t="n">
        <f aca="false">G27*$C$19</f>
        <v>4.348377</v>
      </c>
      <c r="H52" s="22" t="n">
        <f aca="false">H27*$C$19</f>
        <v>4.7832147</v>
      </c>
      <c r="I52" s="22" t="n">
        <f aca="false">I27*$C$19</f>
        <v>5.26153617</v>
      </c>
      <c r="J52" s="22" t="n">
        <f aca="false">J27*$C$19</f>
        <v>5.787689787</v>
      </c>
      <c r="K52" s="22" t="n">
        <f aca="false">K27*$C$19</f>
        <v>6.3664587657</v>
      </c>
      <c r="L52" s="22" t="n">
        <f aca="false">L27*$C$19</f>
        <v>7.00310464227</v>
      </c>
      <c r="M52" s="22" t="n">
        <f aca="false">M27*$C$19</f>
        <v>7.70341510649701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0.108</v>
      </c>
      <c r="D53" s="21" t="n">
        <f aca="false">D51*$B$7</f>
        <v>0.22248</v>
      </c>
      <c r="E53" s="21" t="n">
        <f aca="false">E51*$B$7</f>
        <v>0.3442608</v>
      </c>
      <c r="F53" s="21" t="n">
        <f aca="false">F51*$B$7</f>
        <v>0.474238368</v>
      </c>
      <c r="G53" s="21" t="n">
        <f aca="false">G51*$B$7</f>
        <v>0.61339163328</v>
      </c>
      <c r="H53" s="21" t="n">
        <f aca="false">H51*$B$7</f>
        <v>0.7627910479488</v>
      </c>
      <c r="I53" s="21" t="n">
        <f aca="false">I51*$B$7</f>
        <v>0.923607994030848</v>
      </c>
      <c r="J53" s="21" t="n">
        <f aca="false">J51*$B$7</f>
        <v>1.09712512106961</v>
      </c>
      <c r="K53" s="21" t="n">
        <f aca="false">K51*$B$7</f>
        <v>1.28474770770683</v>
      </c>
      <c r="L53" s="21" t="n">
        <f aca="false">L51*$B$7</f>
        <v>1.48801615002656</v>
      </c>
      <c r="M53" s="21" t="n">
        <f aca="false">M51*$B$7</f>
        <v>1.70861968971629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2.7</v>
      </c>
      <c r="C54" s="22" t="n">
        <f aca="false">C51+C52-C53</f>
        <v>5.562</v>
      </c>
      <c r="D54" s="22" t="n">
        <f aca="false">D51+D52-D53</f>
        <v>8.60652</v>
      </c>
      <c r="E54" s="22" t="n">
        <f aca="false">E51+E52-E53</f>
        <v>11.8559592</v>
      </c>
      <c r="F54" s="22" t="n">
        <f aca="false">F51+F52-F53</f>
        <v>15.334790832</v>
      </c>
      <c r="G54" s="22" t="n">
        <f aca="false">G51+G52-G53</f>
        <v>19.06977619872</v>
      </c>
      <c r="H54" s="22" t="n">
        <f aca="false">H51+H52-H53</f>
        <v>23.0901998507712</v>
      </c>
      <c r="I54" s="22" t="n">
        <f aca="false">I51+I52-I53</f>
        <v>27.4281280267404</v>
      </c>
      <c r="J54" s="22" t="n">
        <f aca="false">J51+J52-J53</f>
        <v>32.1186926926708</v>
      </c>
      <c r="K54" s="22" t="n">
        <f aca="false">K51+K52-K53</f>
        <v>37.2004037506639</v>
      </c>
      <c r="L54" s="22" t="n">
        <f aca="false">L51+L52-L53</f>
        <v>42.7154922429074</v>
      </c>
      <c r="M54" s="22" t="n">
        <f aca="false">M51+M52-M53</f>
        <v>48.7102876596881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1.35</v>
      </c>
      <c r="C55" s="21" t="n">
        <f aca="false">(C51+C54)/2</f>
        <v>4.131</v>
      </c>
      <c r="D55" s="21" t="n">
        <f aca="false">(D51+D54)/2</f>
        <v>7.08426</v>
      </c>
      <c r="E55" s="21" t="n">
        <f aca="false">(E51+E54)/2</f>
        <v>10.2312396</v>
      </c>
      <c r="F55" s="21" t="n">
        <f aca="false">(F51+F54)/2</f>
        <v>13.595375016</v>
      </c>
      <c r="G55" s="21" t="n">
        <f aca="false">(G51+G54)/2</f>
        <v>17.20228351536</v>
      </c>
      <c r="H55" s="21" t="n">
        <f aca="false">(H51+H54)/2</f>
        <v>21.0799880247456</v>
      </c>
      <c r="I55" s="21" t="n">
        <f aca="false">(I51+I54)/2</f>
        <v>25.2591639387558</v>
      </c>
      <c r="J55" s="21" t="n">
        <f aca="false">(J51+J54)/2</f>
        <v>29.7734103597056</v>
      </c>
      <c r="K55" s="21" t="n">
        <f aca="false">(K51+K54)/2</f>
        <v>34.6595482216673</v>
      </c>
      <c r="L55" s="21" t="n">
        <f aca="false">(L51+L54)/2</f>
        <v>39.9579479967857</v>
      </c>
      <c r="M55" s="21" t="n">
        <f aca="false">(M51+M54)/2</f>
        <v>45.7128899512977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39.15</v>
      </c>
      <c r="C56" s="22" t="n">
        <f aca="false">C55*$B$19</f>
        <v>119.799</v>
      </c>
      <c r="D56" s="22" t="n">
        <f aca="false">D55*$B$19</f>
        <v>205.44354</v>
      </c>
      <c r="E56" s="22" t="n">
        <f aca="false">E55*$B$19</f>
        <v>296.7059484</v>
      </c>
      <c r="F56" s="22" t="n">
        <f aca="false">F55*$B$19</f>
        <v>394.265875464</v>
      </c>
      <c r="G56" s="22" t="n">
        <f aca="false">G55*$B$19</f>
        <v>498.86622194544</v>
      </c>
      <c r="H56" s="22" t="n">
        <f aca="false">H55*$B$19</f>
        <v>611.319652717623</v>
      </c>
      <c r="I56" s="22" t="n">
        <f aca="false">I55*$B$19</f>
        <v>732.515754223918</v>
      </c>
      <c r="J56" s="22" t="n">
        <f aca="false">J55*$B$19</f>
        <v>863.428900431461</v>
      </c>
      <c r="K56" s="22" t="n">
        <f aca="false">K55*$B$19</f>
        <v>1005.12689842835</v>
      </c>
      <c r="L56" s="22" t="n">
        <f aca="false">L55*$B$19</f>
        <v>1158.78049190678</v>
      </c>
      <c r="M56" s="22" t="n">
        <f aca="false">M55*$B$19</f>
        <v>1325.67380858763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120528</v>
      </c>
      <c r="C57" s="21" t="n">
        <f aca="false">(C55*$D$19)*DAY(EOMONTH(C$25,0))*1440/$E$19*$B$12</f>
        <v>356918.4</v>
      </c>
      <c r="D57" s="21" t="n">
        <f aca="false">(D55*$D$19)*DAY(EOMONTH(D$25,0))*1440/$E$19*$B$12</f>
        <v>632482.7328</v>
      </c>
      <c r="E57" s="21" t="n">
        <f aca="false">(E55*$D$19)*DAY(EOMONTH(E$25,0))*1440/$E$19*$B$12</f>
        <v>913445.071488</v>
      </c>
      <c r="F57" s="21" t="n">
        <f aca="false">(F55*$D$19)*DAY(EOMONTH(F$25,0))*1440/$E$19*$B$12</f>
        <v>1096331.04129024</v>
      </c>
      <c r="G57" s="21" t="n">
        <f aca="false">(G55*$D$19)*DAY(EOMONTH(G$25,0))*1440/$E$19*$B$12</f>
        <v>1535819.87225134</v>
      </c>
      <c r="H57" s="21" t="n">
        <f aca="false">(H55*$D$19)*DAY(EOMONTH(H$25,0))*1440/$E$19*$B$12</f>
        <v>1821310.96533802</v>
      </c>
      <c r="I57" s="21" t="n">
        <f aca="false">(I55*$D$19)*DAY(EOMONTH(I$25,0))*1440/$E$19*$B$12</f>
        <v>2255138.15645212</v>
      </c>
      <c r="J57" s="21" t="n">
        <f aca="false">(J55*$D$19)*DAY(EOMONTH(J$25,0))*1440/$E$19*$B$12</f>
        <v>2572422.65507856</v>
      </c>
      <c r="K57" s="21" t="n">
        <f aca="false">(K55*$D$19)*DAY(EOMONTH(K$25,0))*1440/$E$19*$B$12</f>
        <v>3094404.46523046</v>
      </c>
      <c r="L57" s="21" t="n">
        <f aca="false">(L55*$D$19)*DAY(EOMONTH(L$25,0))*1440/$E$19*$B$12</f>
        <v>3567445.59715302</v>
      </c>
      <c r="M57" s="21" t="n">
        <f aca="false">(M55*$D$19)*DAY(EOMONTH(M$25,0))*1440/$E$19*$B$12</f>
        <v>3949593.69179212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3.24</v>
      </c>
      <c r="C58" s="22" t="n">
        <f aca="false">(C55*$D$19)*Inputs!$B$8*$B$13*Inputs!$B$9*$F$19</f>
        <v>9.9144</v>
      </c>
      <c r="D58" s="22" t="n">
        <f aca="false">(D55*$D$19)*Inputs!$B$8*$B$13*Inputs!$B$9*$F$19</f>
        <v>17.002224</v>
      </c>
      <c r="E58" s="22" t="n">
        <f aca="false">(E55*$D$19)*Inputs!$B$8*$B$13*Inputs!$B$9*$F$19</f>
        <v>24.55497504</v>
      </c>
      <c r="F58" s="22" t="n">
        <f aca="false">(F55*$D$19)*Inputs!$B$8*$B$13*Inputs!$B$9*$F$19</f>
        <v>32.6289000384</v>
      </c>
      <c r="G58" s="22" t="n">
        <f aca="false">(G55*$D$19)*Inputs!$B$8*$B$13*Inputs!$B$9*$F$19</f>
        <v>41.285480436864</v>
      </c>
      <c r="H58" s="22" t="n">
        <f aca="false">(H55*$D$19)*Inputs!$B$8*$B$13*Inputs!$B$9*$F$19</f>
        <v>50.5919712593894</v>
      </c>
      <c r="I58" s="22" t="n">
        <f aca="false">(I55*$D$19)*Inputs!$B$8*$B$13*Inputs!$B$9*$F$19</f>
        <v>60.6219934530139</v>
      </c>
      <c r="J58" s="22" t="n">
        <f aca="false">(J55*$D$19)*Inputs!$B$8*$B$13*Inputs!$B$9*$F$19</f>
        <v>71.4561848632933</v>
      </c>
      <c r="K58" s="22" t="n">
        <f aca="false">(K55*$D$19)*Inputs!$B$8*$B$13*Inputs!$B$9*$F$19</f>
        <v>83.1829157320016</v>
      </c>
      <c r="L58" s="22" t="n">
        <f aca="false">(L55*$D$19)*Inputs!$B$8*$B$13*Inputs!$B$9*$F$19</f>
        <v>95.8990751922856</v>
      </c>
      <c r="M58" s="22" t="n">
        <f aca="false">(M55*$D$19)*Inputs!$B$8*$B$13*Inputs!$B$9*$F$19</f>
        <v>109.710935883115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23.4798912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69.015929472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121.54447706112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175.365001517875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212.932048526779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294.590485218701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350.592249683713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432.393251959546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495.028896841969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593.181000552127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683.808968904271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759.866308439598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0.9</v>
      </c>
      <c r="D61" s="21" t="n">
        <f aca="false">C64</f>
        <v>1.854</v>
      </c>
      <c r="E61" s="21" t="n">
        <f aca="false">D64</f>
        <v>2.86884</v>
      </c>
      <c r="F61" s="21" t="n">
        <f aca="false">E64</f>
        <v>3.9519864</v>
      </c>
      <c r="G61" s="21" t="n">
        <f aca="false">F64</f>
        <v>5.111596944</v>
      </c>
      <c r="H61" s="21" t="n">
        <f aca="false">G64</f>
        <v>6.35659206624</v>
      </c>
      <c r="I61" s="21" t="n">
        <f aca="false">H64</f>
        <v>7.6967332835904</v>
      </c>
      <c r="J61" s="21" t="n">
        <f aca="false">I64</f>
        <v>9.14270934224679</v>
      </c>
      <c r="K61" s="21" t="n">
        <f aca="false">J64</f>
        <v>10.7062308975569</v>
      </c>
      <c r="L61" s="21" t="n">
        <f aca="false">K64</f>
        <v>12.4001345835546</v>
      </c>
      <c r="M61" s="21" t="n">
        <f aca="false">L64</f>
        <v>14.2384974143025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0.9</v>
      </c>
      <c r="C62" s="22" t="n">
        <f aca="false">C27*$C$20</f>
        <v>0.99</v>
      </c>
      <c r="D62" s="22" t="n">
        <f aca="false">D27*$C$20</f>
        <v>1.089</v>
      </c>
      <c r="E62" s="22" t="n">
        <f aca="false">E27*$C$20</f>
        <v>1.1979</v>
      </c>
      <c r="F62" s="22" t="n">
        <f aca="false">F27*$C$20</f>
        <v>1.31769</v>
      </c>
      <c r="G62" s="22" t="n">
        <f aca="false">G27*$C$20</f>
        <v>1.449459</v>
      </c>
      <c r="H62" s="22" t="n">
        <f aca="false">H27*$C$20</f>
        <v>1.5944049</v>
      </c>
      <c r="I62" s="22" t="n">
        <f aca="false">I27*$C$20</f>
        <v>1.75384539</v>
      </c>
      <c r="J62" s="22" t="n">
        <f aca="false">J27*$C$20</f>
        <v>1.929229929</v>
      </c>
      <c r="K62" s="22" t="n">
        <f aca="false">K27*$C$20</f>
        <v>2.1221529219</v>
      </c>
      <c r="L62" s="22" t="n">
        <f aca="false">L27*$C$20</f>
        <v>2.33436821409</v>
      </c>
      <c r="M62" s="22" t="n">
        <f aca="false">M27*$C$20</f>
        <v>2.567805035499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0.036</v>
      </c>
      <c r="D63" s="21" t="n">
        <f aca="false">D61*$B$7</f>
        <v>0.07416</v>
      </c>
      <c r="E63" s="21" t="n">
        <f aca="false">E61*$B$7</f>
        <v>0.1147536</v>
      </c>
      <c r="F63" s="21" t="n">
        <f aca="false">F61*$B$7</f>
        <v>0.158079456</v>
      </c>
      <c r="G63" s="21" t="n">
        <f aca="false">G61*$B$7</f>
        <v>0.20446387776</v>
      </c>
      <c r="H63" s="21" t="n">
        <f aca="false">H61*$B$7</f>
        <v>0.2542636826496</v>
      </c>
      <c r="I63" s="21" t="n">
        <f aca="false">I61*$B$7</f>
        <v>0.307869331343616</v>
      </c>
      <c r="J63" s="21" t="n">
        <f aca="false">J61*$B$7</f>
        <v>0.365708373689872</v>
      </c>
      <c r="K63" s="21" t="n">
        <f aca="false">K61*$B$7</f>
        <v>0.428249235902277</v>
      </c>
      <c r="L63" s="21" t="n">
        <f aca="false">L61*$B$7</f>
        <v>0.496005383342186</v>
      </c>
      <c r="M63" s="21" t="n">
        <f aca="false">M61*$B$7</f>
        <v>0.569539896572098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0.9</v>
      </c>
      <c r="C64" s="22" t="n">
        <f aca="false">C61+C62-C63</f>
        <v>1.854</v>
      </c>
      <c r="D64" s="22" t="n">
        <f aca="false">D61+D62-D63</f>
        <v>2.86884</v>
      </c>
      <c r="E64" s="22" t="n">
        <f aca="false">E61+E62-E63</f>
        <v>3.9519864</v>
      </c>
      <c r="F64" s="22" t="n">
        <f aca="false">F61+F62-F63</f>
        <v>5.111596944</v>
      </c>
      <c r="G64" s="22" t="n">
        <f aca="false">G61+G62-G63</f>
        <v>6.35659206624</v>
      </c>
      <c r="H64" s="22" t="n">
        <f aca="false">H61+H62-H63</f>
        <v>7.6967332835904</v>
      </c>
      <c r="I64" s="22" t="n">
        <f aca="false">I61+I62-I63</f>
        <v>9.14270934224679</v>
      </c>
      <c r="J64" s="22" t="n">
        <f aca="false">J61+J62-J63</f>
        <v>10.7062308975569</v>
      </c>
      <c r="K64" s="22" t="n">
        <f aca="false">K61+K62-K63</f>
        <v>12.4001345835546</v>
      </c>
      <c r="L64" s="22" t="n">
        <f aca="false">L61+L62-L63</f>
        <v>14.2384974143025</v>
      </c>
      <c r="M64" s="22" t="n">
        <f aca="false">M61+M62-M63</f>
        <v>16.2367625532294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0.45</v>
      </c>
      <c r="C65" s="21" t="n">
        <f aca="false">(C61+C64)/2</f>
        <v>1.377</v>
      </c>
      <c r="D65" s="21" t="n">
        <f aca="false">(D61+D64)/2</f>
        <v>2.36142</v>
      </c>
      <c r="E65" s="21" t="n">
        <f aca="false">(E61+E64)/2</f>
        <v>3.4104132</v>
      </c>
      <c r="F65" s="21" t="n">
        <f aca="false">(F61+F64)/2</f>
        <v>4.531791672</v>
      </c>
      <c r="G65" s="21" t="n">
        <f aca="false">(G61+G64)/2</f>
        <v>5.73409450512</v>
      </c>
      <c r="H65" s="21" t="n">
        <f aca="false">(H61+H64)/2</f>
        <v>7.0266626749152</v>
      </c>
      <c r="I65" s="21" t="n">
        <f aca="false">(I61+I64)/2</f>
        <v>8.4197213129186</v>
      </c>
      <c r="J65" s="21" t="n">
        <f aca="false">(J61+J64)/2</f>
        <v>9.92447011990185</v>
      </c>
      <c r="K65" s="21" t="n">
        <f aca="false">(K61+K64)/2</f>
        <v>11.5531827405558</v>
      </c>
      <c r="L65" s="21" t="n">
        <f aca="false">(L61+L64)/2</f>
        <v>13.3193159989286</v>
      </c>
      <c r="M65" s="21" t="n">
        <f aca="false">(M61+M64)/2</f>
        <v>15.2376299837659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44.55</v>
      </c>
      <c r="C66" s="22" t="n">
        <f aca="false">C65*$B$20</f>
        <v>136.323</v>
      </c>
      <c r="D66" s="22" t="n">
        <f aca="false">D65*$B$20</f>
        <v>233.78058</v>
      </c>
      <c r="E66" s="22" t="n">
        <f aca="false">E65*$B$20</f>
        <v>337.6309068</v>
      </c>
      <c r="F66" s="22" t="n">
        <f aca="false">F65*$B$20</f>
        <v>448.647375528</v>
      </c>
      <c r="G66" s="22" t="n">
        <f aca="false">G65*$B$20</f>
        <v>567.67535600688</v>
      </c>
      <c r="H66" s="22" t="n">
        <f aca="false">H65*$B$20</f>
        <v>695.639604816605</v>
      </c>
      <c r="I66" s="22" t="n">
        <f aca="false">I65*$B$20</f>
        <v>833.552409978941</v>
      </c>
      <c r="J66" s="22" t="n">
        <f aca="false">J65*$B$20</f>
        <v>982.522541870283</v>
      </c>
      <c r="K66" s="22" t="n">
        <f aca="false">K65*$B$20</f>
        <v>1143.76509131502</v>
      </c>
      <c r="L66" s="22" t="n">
        <f aca="false">L65*$B$20</f>
        <v>1318.61228389393</v>
      </c>
      <c r="M66" s="22" t="n">
        <f aca="false">M65*$B$20</f>
        <v>1508.52536839283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120528</v>
      </c>
      <c r="C67" s="21" t="n">
        <f aca="false">(C65*$D$20)*DAY(EOMONTH(C$25,0))*1440/$E$20*$B$12</f>
        <v>356918.4</v>
      </c>
      <c r="D67" s="21" t="n">
        <f aca="false">(D65*$D$20)*DAY(EOMONTH(D$25,0))*1440/$E$20*$B$12</f>
        <v>632482.7328</v>
      </c>
      <c r="E67" s="21" t="n">
        <f aca="false">(E65*$D$20)*DAY(EOMONTH(E$25,0))*1440/$E$20*$B$12</f>
        <v>913445.071488</v>
      </c>
      <c r="F67" s="21" t="n">
        <f aca="false">(F65*$D$20)*DAY(EOMONTH(F$25,0))*1440/$E$20*$B$12</f>
        <v>1096331.04129024</v>
      </c>
      <c r="G67" s="21" t="n">
        <f aca="false">(G65*$D$20)*DAY(EOMONTH(G$25,0))*1440/$E$20*$B$12</f>
        <v>1535819.87225134</v>
      </c>
      <c r="H67" s="21" t="n">
        <f aca="false">(H65*$D$20)*DAY(EOMONTH(H$25,0))*1440/$E$20*$B$12</f>
        <v>1821310.96533802</v>
      </c>
      <c r="I67" s="21" t="n">
        <f aca="false">(I65*$D$20)*DAY(EOMONTH(I$25,0))*1440/$E$20*$B$12</f>
        <v>2255138.15645212</v>
      </c>
      <c r="J67" s="21" t="n">
        <f aca="false">(J65*$D$20)*DAY(EOMONTH(J$25,0))*1440/$E$20*$B$12</f>
        <v>2572422.65507856</v>
      </c>
      <c r="K67" s="21" t="n">
        <f aca="false">(K65*$D$20)*DAY(EOMONTH(K$25,0))*1440/$E$20*$B$12</f>
        <v>3094404.46523046</v>
      </c>
      <c r="L67" s="21" t="n">
        <f aca="false">(L65*$D$20)*DAY(EOMONTH(L$25,0))*1440/$E$20*$B$12</f>
        <v>3567445.59715302</v>
      </c>
      <c r="M67" s="21" t="n">
        <f aca="false">(M65*$D$20)*DAY(EOMONTH(M$25,0))*1440/$E$20*$B$12</f>
        <v>3949593.69179212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3.24</v>
      </c>
      <c r="C68" s="22" t="n">
        <f aca="false">(C65*$D$20)*Inputs!$B$8*$B$13*Inputs!$B$9*$F$20</f>
        <v>9.9144</v>
      </c>
      <c r="D68" s="22" t="n">
        <f aca="false">(D65*$D$20)*Inputs!$B$8*$B$13*Inputs!$B$9*$F$20</f>
        <v>17.002224</v>
      </c>
      <c r="E68" s="22" t="n">
        <f aca="false">(E65*$D$20)*Inputs!$B$8*$B$13*Inputs!$B$9*$F$20</f>
        <v>24.55497504</v>
      </c>
      <c r="F68" s="22" t="n">
        <f aca="false">(F65*$D$20)*Inputs!$B$8*$B$13*Inputs!$B$9*$F$20</f>
        <v>32.6289000384</v>
      </c>
      <c r="G68" s="22" t="n">
        <f aca="false">(G65*$D$20)*Inputs!$B$8*$B$13*Inputs!$B$9*$F$20</f>
        <v>41.285480436864</v>
      </c>
      <c r="H68" s="22" t="n">
        <f aca="false">(H65*$D$20)*Inputs!$B$8*$B$13*Inputs!$B$9*$F$20</f>
        <v>50.5919712593895</v>
      </c>
      <c r="I68" s="22" t="n">
        <f aca="false">(I65*$D$20)*Inputs!$B$8*$B$13*Inputs!$B$9*$F$20</f>
        <v>60.6219934530139</v>
      </c>
      <c r="J68" s="22" t="n">
        <f aca="false">(J65*$D$20)*Inputs!$B$8*$B$13*Inputs!$B$9*$F$20</f>
        <v>71.4561848632933</v>
      </c>
      <c r="K68" s="22" t="n">
        <f aca="false">(K65*$D$20)*Inputs!$B$8*$B$13*Inputs!$B$9*$F$20</f>
        <v>83.1829157320016</v>
      </c>
      <c r="L68" s="22" t="n">
        <f aca="false">(L65*$D$20)*Inputs!$B$8*$B$13*Inputs!$B$9*$F$20</f>
        <v>95.8990751922856</v>
      </c>
      <c r="M68" s="22" t="n">
        <f aca="false">(M65*$D$20)*Inputs!$B$8*$B$13*Inputs!$B$9*$F$20</f>
        <v>109.710935883115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22.6842912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67.121393472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118.48188650112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171.056694980275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207.291032690683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287.519564300049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341.983065314207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422.12522464846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482.968059275331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579.178712005358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667.700498968299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741.469277076881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9</v>
      </c>
      <c r="C73" s="25" t="n">
        <f aca="false">C44+C54+C64</f>
        <v>18.54</v>
      </c>
      <c r="D73" s="25" t="n">
        <f aca="false">D44+D54+D64</f>
        <v>28.6884</v>
      </c>
      <c r="E73" s="25" t="n">
        <f aca="false">E44+E54+E64</f>
        <v>39.519864</v>
      </c>
      <c r="F73" s="25" t="n">
        <f aca="false">F44+F54+F64</f>
        <v>51.11596944</v>
      </c>
      <c r="G73" s="25" t="n">
        <f aca="false">G44+G54+G64</f>
        <v>63.5659206624</v>
      </c>
      <c r="H73" s="25" t="n">
        <f aca="false">H44+H54+H64</f>
        <v>76.967332835904</v>
      </c>
      <c r="I73" s="25" t="n">
        <f aca="false">I44+I54+I64</f>
        <v>91.4270934224679</v>
      </c>
      <c r="J73" s="25" t="n">
        <f aca="false">J44+J54+J64</f>
        <v>107.062308975569</v>
      </c>
      <c r="K73" s="25" t="n">
        <f aca="false">K44+K54+K64</f>
        <v>124.001345835546</v>
      </c>
      <c r="L73" s="25" t="n">
        <f aca="false">L44+L54+L64</f>
        <v>142.384974143025</v>
      </c>
      <c r="M73" s="25" t="n">
        <f aca="false">M44+M54+M64</f>
        <v>162.367625532294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4.5</v>
      </c>
      <c r="C74" s="26" t="n">
        <f aca="false">C45+C55+C65</f>
        <v>13.77</v>
      </c>
      <c r="D74" s="26" t="n">
        <f aca="false">D45+D55+D65</f>
        <v>23.6142</v>
      </c>
      <c r="E74" s="26" t="n">
        <f aca="false">E45+E55+E65</f>
        <v>34.104132</v>
      </c>
      <c r="F74" s="26" t="n">
        <f aca="false">F45+F55+F65</f>
        <v>45.31791672</v>
      </c>
      <c r="G74" s="26" t="n">
        <f aca="false">G45+G55+G65</f>
        <v>57.3409450512</v>
      </c>
      <c r="H74" s="26" t="n">
        <f aca="false">H45+H55+H65</f>
        <v>70.266626749152</v>
      </c>
      <c r="I74" s="26" t="n">
        <f aca="false">I45+I55+I65</f>
        <v>84.1972131291859</v>
      </c>
      <c r="J74" s="26" t="n">
        <f aca="false">J45+J55+J65</f>
        <v>99.2447011990185</v>
      </c>
      <c r="K74" s="26" t="n">
        <f aca="false">K45+K55+K65</f>
        <v>115.531827405558</v>
      </c>
      <c r="L74" s="26" t="n">
        <f aca="false">L45+L55+L65</f>
        <v>133.193159989286</v>
      </c>
      <c r="M74" s="26" t="n">
        <f aca="false">M45+M55+M65</f>
        <v>152.376299837659</v>
      </c>
    </row>
    <row r="75" customFormat="false" ht="15" hidden="false" customHeight="false" outlineLevel="0" collapsed="false">
      <c r="A75" s="3" t="s">
        <v>149</v>
      </c>
      <c r="B75" s="27" t="n">
        <f aca="false">B34</f>
        <v>141</v>
      </c>
      <c r="C75" s="27" t="n">
        <f aca="false">C34</f>
        <v>274.95</v>
      </c>
      <c r="D75" s="27" t="n">
        <f aca="false">D34</f>
        <v>404.3175</v>
      </c>
      <c r="E75" s="27" t="n">
        <f aca="false">E34</f>
        <v>531.340875</v>
      </c>
      <c r="F75" s="27" t="n">
        <f aca="false">F34</f>
        <v>658.07784375</v>
      </c>
      <c r="G75" s="27" t="n">
        <f aca="false">G34</f>
        <v>786.4480771875</v>
      </c>
      <c r="H75" s="27" t="n">
        <f aca="false">H34</f>
        <v>918.270966609375</v>
      </c>
      <c r="I75" s="27" t="n">
        <f aca="false">I34</f>
        <v>1055.29943271797</v>
      </c>
      <c r="J75" s="27" t="n">
        <f aca="false">J34</f>
        <v>1199.25054002027</v>
      </c>
      <c r="K75" s="27" t="n">
        <f aca="false">K34</f>
        <v>1351.83358344823</v>
      </c>
      <c r="L75" s="27" t="n">
        <f aca="false">L34</f>
        <v>1514.7762328051</v>
      </c>
      <c r="M75" s="27" t="n">
        <f aca="false">M34</f>
        <v>1689.84925344584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216</v>
      </c>
      <c r="C76" s="28" t="n">
        <f aca="false">C44*$B$18+C54*$B$19+C64*$B$20</f>
        <v>444.96</v>
      </c>
      <c r="D76" s="28" t="n">
        <f aca="false">D44*$B$18+D54*$B$19+D64*$B$20</f>
        <v>688.5216</v>
      </c>
      <c r="E76" s="28" t="n">
        <f aca="false">E44*$B$18+E54*$B$19+E64*$B$20</f>
        <v>948.476736</v>
      </c>
      <c r="F76" s="28" t="n">
        <f aca="false">F44*$B$18+F54*$B$19+F64*$B$20</f>
        <v>1226.78326656</v>
      </c>
      <c r="G76" s="28" t="n">
        <f aca="false">G44*$B$18+G54*$B$19+G64*$B$20</f>
        <v>1525.5820958976</v>
      </c>
      <c r="H76" s="28" t="n">
        <f aca="false">H44*$B$18+H54*$B$19+H64*$B$20</f>
        <v>1847.2159880617</v>
      </c>
      <c r="I76" s="28" t="n">
        <f aca="false">I44*$B$18+I54*$B$19+I64*$B$20</f>
        <v>2194.25024213923</v>
      </c>
      <c r="J76" s="28" t="n">
        <f aca="false">J44*$B$18+J54*$B$19+J64*$B$20</f>
        <v>2569.49541541366</v>
      </c>
      <c r="K76" s="28" t="n">
        <f aca="false">K44*$B$18+K54*$B$19+K64*$B$20</f>
        <v>2976.03230005311</v>
      </c>
      <c r="L76" s="28" t="n">
        <f aca="false">L44*$B$18+L54*$B$19+L64*$B$20</f>
        <v>3417.23937943259</v>
      </c>
      <c r="M76" s="28" t="n">
        <f aca="false">M44*$B$18+M54*$B$19+M64*$B$20</f>
        <v>3896.82301277505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108</v>
      </c>
      <c r="C77" s="28" t="n">
        <f aca="false">C36+C46+C56+C66</f>
        <v>330.48</v>
      </c>
      <c r="D77" s="28" t="n">
        <f aca="false">D36+D46+D56+D66</f>
        <v>566.7408</v>
      </c>
      <c r="E77" s="28" t="n">
        <f aca="false">E36+E46+E56+E66</f>
        <v>818.499168</v>
      </c>
      <c r="F77" s="28" t="n">
        <f aca="false">F36+F46+F56+F66</f>
        <v>1087.63000128</v>
      </c>
      <c r="G77" s="28" t="n">
        <f aca="false">G36+G46+G56+G66</f>
        <v>1376.1826812288</v>
      </c>
      <c r="H77" s="28" t="n">
        <f aca="false">H36+H46+H56+H66</f>
        <v>1686.39904197965</v>
      </c>
      <c r="I77" s="28" t="n">
        <f aca="false">I36+I46+I56+I66</f>
        <v>2020.73311510046</v>
      </c>
      <c r="J77" s="28" t="n">
        <f aca="false">J36+J46+J56+J66</f>
        <v>2381.87282877644</v>
      </c>
      <c r="K77" s="28" t="n">
        <f aca="false">K36+K46+K56+K66</f>
        <v>2772.76385773339</v>
      </c>
      <c r="L77" s="28" t="n">
        <f aca="false">L36+L46+L56+L66</f>
        <v>3196.63583974285</v>
      </c>
      <c r="M77" s="28" t="n">
        <f aca="false">M36+M46+M56+M66</f>
        <v>3657.03119610382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523180.8</v>
      </c>
      <c r="C78" s="26" t="n">
        <f aca="false">C37+C47+C57+C67</f>
        <v>1526955.84</v>
      </c>
      <c r="D78" s="26" t="n">
        <f aca="false">D37+D47+D57+D67</f>
        <v>2655205.14528</v>
      </c>
      <c r="E78" s="26" t="n">
        <f aca="false">E37+E47+E57+E67</f>
        <v>3767216.8478688</v>
      </c>
      <c r="F78" s="26" t="n">
        <f aca="false">F37+F47+F57+F67</f>
        <v>4449039.46535462</v>
      </c>
      <c r="G78" s="26" t="n">
        <f aca="false">G37+G47+G57+G67</f>
        <v>6142586.23820849</v>
      </c>
      <c r="H78" s="26" t="n">
        <f aca="false">H37+H47+H57+H67</f>
        <v>7190203.93294635</v>
      </c>
      <c r="I78" s="26" t="n">
        <f aca="false">I37+I47+I57+I67</f>
        <v>8800031.96097459</v>
      </c>
      <c r="J78" s="26" t="n">
        <f aca="false">J37+J47+J57+J67</f>
        <v>9934850.86394733</v>
      </c>
      <c r="K78" s="26" t="n">
        <f aca="false">K37+K47+K57+K67</f>
        <v>11841464.7853203</v>
      </c>
      <c r="L78" s="26" t="n">
        <f aca="false">L37+L47+L57+L67</f>
        <v>13540873.9591828</v>
      </c>
      <c r="M78" s="26" t="n">
        <f aca="false">M37+M47+M57+M67</f>
        <v>14883604.2988609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8.424</v>
      </c>
      <c r="C79" s="27" t="n">
        <f aca="false">C38+C48+C58+C68</f>
        <v>25.77744</v>
      </c>
      <c r="D79" s="27" t="n">
        <f aca="false">D38+D48+D58+D68</f>
        <v>44.2057824</v>
      </c>
      <c r="E79" s="27" t="n">
        <f aca="false">E38+E48+E58+E68</f>
        <v>63.842935104</v>
      </c>
      <c r="F79" s="27" t="n">
        <f aca="false">F38+F48+F58+F68</f>
        <v>84.83514009984</v>
      </c>
      <c r="G79" s="27" t="n">
        <f aca="false">G38+G48+G58+G68</f>
        <v>107.342249135846</v>
      </c>
      <c r="H79" s="27" t="n">
        <f aca="false">H38+H48+H58+H68</f>
        <v>131.539125274413</v>
      </c>
      <c r="I79" s="27" t="n">
        <f aca="false">I38+I48+I58+I68</f>
        <v>157.617182977836</v>
      </c>
      <c r="J79" s="27" t="n">
        <f aca="false">J38+J48+J58+J68</f>
        <v>185.786080644563</v>
      </c>
      <c r="K79" s="27" t="n">
        <f aca="false">K38+K48+K58+K68</f>
        <v>216.275580903204</v>
      </c>
      <c r="L79" s="27" t="n">
        <f aca="false">L38+L48+L58+L68</f>
        <v>249.337595499943</v>
      </c>
      <c r="M79" s="27" t="n">
        <f aca="false">M38+M48+M58+M68</f>
        <v>285.248433296098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98.22503712</v>
      </c>
      <c r="C80" s="29" t="n">
        <f aca="false">C39+C49+C59+C69</f>
        <v>285.2707402272</v>
      </c>
      <c r="D80" s="29" t="n">
        <f aca="false">D39+D49+D59+D69</f>
        <v>494.458271514912</v>
      </c>
      <c r="E80" s="29" t="n">
        <f aca="false">E39+E49+E59+E69</f>
        <v>701.997127033236</v>
      </c>
      <c r="F80" s="29" t="n">
        <f aca="false">F39+F49+F59+F69</f>
        <v>837.656920160766</v>
      </c>
      <c r="G80" s="29" t="n">
        <f aca="false">G39+G49+G59+G69</f>
        <v>1146.71642768778</v>
      </c>
      <c r="H80" s="29" t="n">
        <f aca="false">H39+H49+H59+H69</f>
        <v>1347.54169668692</v>
      </c>
      <c r="I80" s="29" t="n">
        <f aca="false">I39+I49+I59+I69</f>
        <v>1645.69862102607</v>
      </c>
      <c r="J80" s="29" t="n">
        <f aca="false">J39+J49+J59+J69</f>
        <v>1865.05884135712</v>
      </c>
      <c r="K80" s="29" t="n">
        <f aca="false">K39+K49+K59+K69</f>
        <v>2217.79657010625</v>
      </c>
      <c r="L80" s="29" t="n">
        <f aca="false">L39+L49+L59+L69</f>
        <v>2537.71988409383</v>
      </c>
      <c r="M80" s="29" t="n">
        <f aca="false">M39+M49+M59+M69</f>
        <v>2799.67890750115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100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200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300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400</v>
      </c>
      <c r="M82" s="29" t="n">
        <f aca="false">MAX(0,ROUNDUP((M35*$D$17+M45*$D$18+M55*$D$19+M65*$D$20)/Inputs!$B$40,0)-1)*Inputs!$B$41</f>
        <v>500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198.22503712</v>
      </c>
      <c r="C83" s="28" t="n">
        <f aca="false">C80+C81+C82</f>
        <v>385.2707402272</v>
      </c>
      <c r="D83" s="28" t="n">
        <f aca="false">D80+D81+D82</f>
        <v>694.458271514912</v>
      </c>
      <c r="E83" s="28" t="n">
        <f aca="false">E80+E81+E82</f>
        <v>901.997127033236</v>
      </c>
      <c r="F83" s="28" t="n">
        <f aca="false">F80+F81+F82</f>
        <v>1037.65692016077</v>
      </c>
      <c r="G83" s="28" t="n">
        <f aca="false">G80+G81+G82</f>
        <v>1446.71642768778</v>
      </c>
      <c r="H83" s="28" t="n">
        <f aca="false">H80+H81+H82</f>
        <v>1647.54169668692</v>
      </c>
      <c r="I83" s="28" t="n">
        <f aca="false">I80+I81+I82</f>
        <v>2045.69862102607</v>
      </c>
      <c r="J83" s="28" t="n">
        <f aca="false">J80+J81+J82</f>
        <v>2265.05884135712</v>
      </c>
      <c r="K83" s="28" t="n">
        <f aca="false">K80+K81+K82</f>
        <v>2717.79657010625</v>
      </c>
      <c r="L83" s="28" t="n">
        <f aca="false">L80+L81+L82</f>
        <v>3037.71988409383</v>
      </c>
      <c r="M83" s="28" t="n">
        <f aca="false">M80+M81+M82</f>
        <v>3399.67890750115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-90.22503712</v>
      </c>
      <c r="C84" s="28" t="n">
        <f aca="false">C77-C83</f>
        <v>-54.7907402272001</v>
      </c>
      <c r="D84" s="28" t="n">
        <f aca="false">D77-D83</f>
        <v>-127.717471514912</v>
      </c>
      <c r="E84" s="28" t="n">
        <f aca="false">E77-E83</f>
        <v>-83.4979590332358</v>
      </c>
      <c r="F84" s="28" t="n">
        <f aca="false">F77-F83</f>
        <v>49.9730811192337</v>
      </c>
      <c r="G84" s="28" t="n">
        <f aca="false">G77-G83</f>
        <v>-70.5337464589795</v>
      </c>
      <c r="H84" s="28" t="n">
        <f aca="false">H77-H83</f>
        <v>38.8573452927299</v>
      </c>
      <c r="I84" s="28" t="n">
        <f aca="false">I77-I83</f>
        <v>-24.9655059256115</v>
      </c>
      <c r="J84" s="28" t="n">
        <f aca="false">J77-J83</f>
        <v>116.813987419322</v>
      </c>
      <c r="K84" s="28" t="n">
        <f aca="false">K77-K83</f>
        <v>54.9672876271425</v>
      </c>
      <c r="L84" s="28" t="n">
        <f aca="false">L77-L83</f>
        <v>158.91595564902</v>
      </c>
      <c r="M84" s="28" t="n">
        <f aca="false">M77-M83</f>
        <v>257.352288602673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-0.835417010370371</v>
      </c>
      <c r="C85" s="31" t="n">
        <f aca="false">IFERROR(C84/C77,0)</f>
        <v>-0.165791395022997</v>
      </c>
      <c r="D85" s="31" t="n">
        <f aca="false">IFERROR(D84/D77,0)</f>
        <v>-0.225354291617812</v>
      </c>
      <c r="E85" s="31" t="n">
        <f aca="false">IFERROR(E84/E77,0)</f>
        <v>-0.102013492863118</v>
      </c>
      <c r="F85" s="31" t="n">
        <f aca="false">IFERROR(F84/F77,0)</f>
        <v>0.0459467659593997</v>
      </c>
      <c r="G85" s="31" t="n">
        <f aca="false">IFERROR(G84/G77,0)</f>
        <v>-0.0512531856570086</v>
      </c>
      <c r="H85" s="31" t="n">
        <f aca="false">IFERROR(H84/H77,0)</f>
        <v>0.023041607784072</v>
      </c>
      <c r="I85" s="31" t="n">
        <f aca="false">IFERROR(I84/I77,0)</f>
        <v>-0.0123546774876158</v>
      </c>
      <c r="J85" s="31" t="n">
        <f aca="false">IFERROR(J84/J77,0)</f>
        <v>0.0490429153093486</v>
      </c>
      <c r="K85" s="31" t="n">
        <f aca="false">IFERROR(K84/K77,0)</f>
        <v>0.0198240060991259</v>
      </c>
      <c r="L85" s="31" t="n">
        <f aca="false">IFERROR(L84/L77,0)</f>
        <v>0.0497134999468077</v>
      </c>
      <c r="M85" s="31" t="n">
        <f aca="false">IFERROR(M84/M77,0)</f>
        <v>0.0703719150322957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360</v>
      </c>
      <c r="C86" s="29" t="n">
        <f aca="false">C27*$B$9</f>
        <v>396</v>
      </c>
      <c r="D86" s="29" t="n">
        <f aca="false">D27*$B$9</f>
        <v>435.6</v>
      </c>
      <c r="E86" s="29" t="n">
        <f aca="false">E27*$B$9</f>
        <v>479.16</v>
      </c>
      <c r="F86" s="29" t="n">
        <f aca="false">F27*$B$9</f>
        <v>527.076</v>
      </c>
      <c r="G86" s="29" t="n">
        <f aca="false">G27*$B$9</f>
        <v>579.7836</v>
      </c>
      <c r="H86" s="29" t="n">
        <f aca="false">H27*$B$9</f>
        <v>637.76196</v>
      </c>
      <c r="I86" s="29" t="n">
        <f aca="false">I27*$B$9</f>
        <v>701.538156</v>
      </c>
      <c r="J86" s="29" t="n">
        <f aca="false">J27*$B$9</f>
        <v>771.6919716</v>
      </c>
      <c r="K86" s="29" t="n">
        <f aca="false">K27*$B$9</f>
        <v>848.861168760001</v>
      </c>
      <c r="L86" s="29" t="n">
        <f aca="false">L27*$B$9</f>
        <v>933.747285636001</v>
      </c>
      <c r="M86" s="29" t="n">
        <f aca="false">M27*$B$9</f>
        <v>1027.1220141996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510</v>
      </c>
      <c r="C91" s="28" t="n">
        <f aca="false">C86+C87+C88+C89+C90</f>
        <v>546</v>
      </c>
      <c r="D91" s="28" t="n">
        <f aca="false">D86+D87+D88+D89+D90</f>
        <v>585.6</v>
      </c>
      <c r="E91" s="28" t="n">
        <f aca="false">E86+E87+E88+E89+E90</f>
        <v>2129.16</v>
      </c>
      <c r="F91" s="28" t="n">
        <f aca="false">F86+F87+F88+F89+F90</f>
        <v>2177.076</v>
      </c>
      <c r="G91" s="28" t="n">
        <f aca="false">G86+G87+G88+G89+G90</f>
        <v>2229.7836</v>
      </c>
      <c r="H91" s="28" t="n">
        <f aca="false">H86+H87+H88+H89+H90</f>
        <v>2287.76196</v>
      </c>
      <c r="I91" s="28" t="n">
        <f aca="false">I86+I87+I88+I89+I90</f>
        <v>2351.538156</v>
      </c>
      <c r="J91" s="28" t="n">
        <f aca="false">J86+J87+J88+J89+J90</f>
        <v>5421.6919716</v>
      </c>
      <c r="K91" s="28" t="n">
        <f aca="false">K86+K87+K88+K89+K90</f>
        <v>5498.86116876</v>
      </c>
      <c r="L91" s="28" t="n">
        <f aca="false">L86+L87+L88+L89+L90</f>
        <v>5583.747285636</v>
      </c>
      <c r="M91" s="28" t="n">
        <f aca="false">M86+M87+M88+M89+M90</f>
        <v>5677.1220141996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-600.22503712</v>
      </c>
      <c r="C92" s="28" t="n">
        <f aca="false">C84-C91</f>
        <v>-600.7907402272</v>
      </c>
      <c r="D92" s="28" t="n">
        <f aca="false">D84-D91</f>
        <v>-713.317471514912</v>
      </c>
      <c r="E92" s="28" t="n">
        <f aca="false">E84-E91</f>
        <v>-2212.65795903324</v>
      </c>
      <c r="F92" s="28" t="n">
        <f aca="false">F84-F91</f>
        <v>-2127.10291888077</v>
      </c>
      <c r="G92" s="28" t="n">
        <f aca="false">G84-G91</f>
        <v>-2300.31734645898</v>
      </c>
      <c r="H92" s="28" t="n">
        <f aca="false">H84-H91</f>
        <v>-2248.90461470727</v>
      </c>
      <c r="I92" s="28" t="n">
        <f aca="false">I84-I91</f>
        <v>-2376.50366192561</v>
      </c>
      <c r="J92" s="28" t="n">
        <f aca="false">J84-J91</f>
        <v>-5304.87798418068</v>
      </c>
      <c r="K92" s="28" t="n">
        <f aca="false">K84-K91</f>
        <v>-5443.89388113286</v>
      </c>
      <c r="L92" s="28" t="n">
        <f aca="false">L84-L91</f>
        <v>-5424.83132998698</v>
      </c>
      <c r="M92" s="28" t="n">
        <f aca="false">M84-M91</f>
        <v>-5419.76972559693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-600.22503712</v>
      </c>
      <c r="C93" s="30" t="n">
        <f aca="false">B93+C92</f>
        <v>-1201.0157773472</v>
      </c>
      <c r="D93" s="30" t="n">
        <f aca="false">C93+D92</f>
        <v>-1914.33324886211</v>
      </c>
      <c r="E93" s="30" t="n">
        <f aca="false">D93+E92</f>
        <v>-4126.99120789535</v>
      </c>
      <c r="F93" s="30" t="n">
        <f aca="false">E93+F92</f>
        <v>-6254.09412677611</v>
      </c>
      <c r="G93" s="30" t="n">
        <f aca="false">F93+G92</f>
        <v>-8554.41147323509</v>
      </c>
      <c r="H93" s="30" t="n">
        <f aca="false">G93+H92</f>
        <v>-10803.3160879424</v>
      </c>
      <c r="I93" s="30" t="n">
        <f aca="false">H93+I92</f>
        <v>-13179.819749868</v>
      </c>
      <c r="J93" s="30" t="n">
        <f aca="false">I93+J92</f>
        <v>-18484.6977340487</v>
      </c>
      <c r="K93" s="30" t="n">
        <f aca="false">J93+K92</f>
        <v>-23928.5916151815</v>
      </c>
      <c r="L93" s="30" t="n">
        <f aca="false">K93+L92</f>
        <v>-29353.4229451685</v>
      </c>
      <c r="M93" s="30" t="n">
        <f aca="false">L93+M92</f>
        <v>-34773.1926707654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14399.77496288</v>
      </c>
      <c r="C94" s="28" t="n">
        <f aca="false">Inputs!$B$49+C93</f>
        <v>13798.9842226528</v>
      </c>
      <c r="D94" s="28" t="n">
        <f aca="false">Inputs!$B$49+D93</f>
        <v>13085.6667511379</v>
      </c>
      <c r="E94" s="28" t="n">
        <f aca="false">Inputs!$B$49+E93</f>
        <v>10873.0087921047</v>
      </c>
      <c r="F94" s="28" t="n">
        <f aca="false">Inputs!$B$49+F93</f>
        <v>8745.90587322389</v>
      </c>
      <c r="G94" s="28" t="n">
        <f aca="false">Inputs!$B$49+G93</f>
        <v>6445.58852676491</v>
      </c>
      <c r="H94" s="28" t="n">
        <f aca="false">Inputs!$B$49+H93</f>
        <v>4196.68391205764</v>
      </c>
      <c r="I94" s="28" t="n">
        <f aca="false">Inputs!$B$49+I93</f>
        <v>1820.18025013203</v>
      </c>
      <c r="J94" s="28" t="n">
        <f aca="false">Inputs!$B$49+J93</f>
        <v>-3484.69773404866</v>
      </c>
      <c r="K94" s="28" t="n">
        <f aca="false">Inputs!$B$49+K93</f>
        <v>-8928.59161518151</v>
      </c>
      <c r="L94" s="28" t="n">
        <f aca="false">Inputs!$B$49+L93</f>
        <v>-14353.4229451685</v>
      </c>
      <c r="M94" s="28" t="n">
        <f aca="false">Inputs!$B$49+M93</f>
        <v>-19773.1926707654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4399.77496288</v>
      </c>
      <c r="C95" s="30" t="n">
        <f aca="false">Inputs!$B$54+C93</f>
        <v>3798.9842226528</v>
      </c>
      <c r="D95" s="30" t="n">
        <f aca="false">Inputs!$B$54+D93</f>
        <v>3085.66675113789</v>
      </c>
      <c r="E95" s="30" t="n">
        <f aca="false">Inputs!$B$54+E93</f>
        <v>873.008792104653</v>
      </c>
      <c r="F95" s="30" t="n">
        <f aca="false">Inputs!$B$54+F93</f>
        <v>-1254.09412677611</v>
      </c>
      <c r="G95" s="30" t="n">
        <f aca="false">Inputs!$B$54+G93</f>
        <v>-3554.41147323509</v>
      </c>
      <c r="H95" s="30" t="n">
        <f aca="false">Inputs!$B$54+H93</f>
        <v>-5803.31608794236</v>
      </c>
      <c r="I95" s="30" t="n">
        <f aca="false">Inputs!$B$54+I93</f>
        <v>-8179.81974986798</v>
      </c>
      <c r="J95" s="30" t="n">
        <f aca="false">Inputs!$B$54+J93</f>
        <v>-13484.6977340487</v>
      </c>
      <c r="K95" s="30" t="n">
        <f aca="false">Inputs!$B$54+K93</f>
        <v>-18928.5916151815</v>
      </c>
      <c r="L95" s="30" t="n">
        <f aca="false">Inputs!$B$54+L93</f>
        <v>-24353.4229451685</v>
      </c>
      <c r="M95" s="30" t="n">
        <f aca="false">Inputs!$B$54+M93</f>
        <v>-29773.1926707654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14399.77496288</v>
      </c>
      <c r="C96" s="29" t="n">
        <f aca="false">Inputs!$B$55+C93</f>
        <v>13798.9842226528</v>
      </c>
      <c r="D96" s="29" t="n">
        <f aca="false">Inputs!$B$55+D93</f>
        <v>13085.6667511379</v>
      </c>
      <c r="E96" s="29" t="n">
        <f aca="false">Inputs!$B$55+E93</f>
        <v>10873.0087921047</v>
      </c>
      <c r="F96" s="29" t="n">
        <f aca="false">Inputs!$B$55+F93</f>
        <v>8745.90587322389</v>
      </c>
      <c r="G96" s="29" t="n">
        <f aca="false">Inputs!$B$55+G93</f>
        <v>6445.58852676491</v>
      </c>
      <c r="H96" s="29" t="n">
        <f aca="false">Inputs!$B$55+H93</f>
        <v>4196.68391205764</v>
      </c>
      <c r="I96" s="29" t="n">
        <f aca="false">Inputs!$B$55+I93</f>
        <v>1820.18025013203</v>
      </c>
      <c r="J96" s="29" t="n">
        <f aca="false">Inputs!$B$55+J93</f>
        <v>-3484.69773404866</v>
      </c>
      <c r="K96" s="29" t="n">
        <f aca="false">Inputs!$B$55+K93</f>
        <v>-8928.59161518151</v>
      </c>
      <c r="L96" s="29" t="n">
        <f aca="false">Inputs!$B$55+L93</f>
        <v>-14353.4229451685</v>
      </c>
      <c r="M96" s="29" t="n">
        <f aca="false">Inputs!$B$55+M93</f>
        <v>-19773.1926707654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29399.77496288</v>
      </c>
      <c r="C97" s="30" t="n">
        <f aca="false">Inputs!$B$56+C93</f>
        <v>28798.9842226528</v>
      </c>
      <c r="D97" s="30" t="n">
        <f aca="false">Inputs!$B$56+D93</f>
        <v>28085.6667511379</v>
      </c>
      <c r="E97" s="30" t="n">
        <f aca="false">Inputs!$B$56+E93</f>
        <v>25873.0087921047</v>
      </c>
      <c r="F97" s="30" t="n">
        <f aca="false">Inputs!$B$56+F93</f>
        <v>23745.9058732239</v>
      </c>
      <c r="G97" s="30" t="n">
        <f aca="false">Inputs!$B$56+G93</f>
        <v>21445.5885267649</v>
      </c>
      <c r="H97" s="30" t="n">
        <f aca="false">Inputs!$B$56+H93</f>
        <v>19196.6839120576</v>
      </c>
      <c r="I97" s="30" t="n">
        <f aca="false">Inputs!$B$56+I93</f>
        <v>16820.180250132</v>
      </c>
      <c r="J97" s="30" t="n">
        <f aca="false">Inputs!$B$56+J93</f>
        <v>11515.3022659513</v>
      </c>
      <c r="K97" s="30" t="n">
        <f aca="false">Inputs!$B$56+K93</f>
        <v>6071.40838481849</v>
      </c>
      <c r="L97" s="30" t="n">
        <f aca="false">Inputs!$B$56+L93</f>
        <v>646.577054831505</v>
      </c>
      <c r="M97" s="30" t="n">
        <f aca="false">Inputs!$B$56+M93</f>
        <v>-4773.19267076542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1.44</v>
      </c>
      <c r="C99" s="30" t="n">
        <f aca="false">IFERROR(C77/(C35+C45+C55+C65),0)</f>
        <v>1.49036054927958</v>
      </c>
      <c r="D99" s="30" t="n">
        <f aca="false">IFERROR(D77/(D35+D45+D55+D65),0)</f>
        <v>1.56020371209252</v>
      </c>
      <c r="E99" s="30" t="n">
        <f aca="false">IFERROR(E77/(E35+E45+E55+E65),0)</f>
        <v>1.63069303471494</v>
      </c>
      <c r="F99" s="30" t="n">
        <f aca="false">IFERROR(F77/(F35+F45+F55+F65),0)</f>
        <v>1.69934945259827</v>
      </c>
      <c r="G99" s="30" t="n">
        <f aca="false">IFERROR(G77/(G35+G45+G55+G65),0)</f>
        <v>1.76523317993253</v>
      </c>
      <c r="H99" s="30" t="n">
        <f aca="false">IFERROR(H77/(H35+H45+H55+H65),0)</f>
        <v>1.82782489359489</v>
      </c>
      <c r="I99" s="30" t="n">
        <f aca="false">IFERROR(I77/(I35+I45+I55+I65),0)</f>
        <v>1.88680326676036</v>
      </c>
      <c r="J99" s="30" t="n">
        <f aca="false">IFERROR(J77/(J35+J45+J55+J65),0)</f>
        <v>1.94197684139833</v>
      </c>
      <c r="K99" s="30" t="n">
        <f aca="false">IFERROR(K77/(K35+K45+K55+K65),0)</f>
        <v>1.99325418971667</v>
      </c>
      <c r="L99" s="30" t="n">
        <f aca="false">IFERROR(L77/(L35+L45+L55+L65),0)</f>
        <v>2.04062545930075</v>
      </c>
      <c r="M99" s="30" t="n">
        <f aca="false">IFERROR(M77/(M35+M45+M55+M65),0)</f>
        <v>2.08414773590209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44.0500082488889</v>
      </c>
      <c r="C100" s="29" t="n">
        <f aca="false">IFERROR(C83/C74,0)</f>
        <v>27.9789934805519</v>
      </c>
      <c r="D100" s="29" t="n">
        <f aca="false">IFERROR(D83/D74,0)</f>
        <v>29.4085029988275</v>
      </c>
      <c r="E100" s="29" t="n">
        <f aca="false">IFERROR(E83/E74,0)</f>
        <v>26.4483238287148</v>
      </c>
      <c r="F100" s="29" t="n">
        <f aca="false">IFERROR(F83/F74,0)</f>
        <v>22.8972776169744</v>
      </c>
      <c r="G100" s="29" t="n">
        <f aca="false">IFERROR(G83/G74,0)</f>
        <v>25.2300764557682</v>
      </c>
      <c r="H100" s="29" t="n">
        <f aca="false">IFERROR(H83/H74,0)</f>
        <v>23.4470014131823</v>
      </c>
      <c r="I100" s="29" t="n">
        <f aca="false">IFERROR(I83/I74,0)</f>
        <v>24.2965122597028</v>
      </c>
      <c r="J100" s="29" t="n">
        <f aca="false">IFERROR(J83/J74,0)</f>
        <v>22.8229700325756</v>
      </c>
      <c r="K100" s="29" t="n">
        <f aca="false">IFERROR(K83/K74,0)</f>
        <v>23.524223853621</v>
      </c>
      <c r="L100" s="29" t="n">
        <f aca="false">IFERROR(L83/L74,0)</f>
        <v>22.8068760012766</v>
      </c>
      <c r="M100" s="29" t="n">
        <f aca="false">IFERROR(M83/M74,0)</f>
        <v>22.3110740392249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-20.0500082488889</v>
      </c>
      <c r="C101" s="30" t="n">
        <f aca="false">C98-C100</f>
        <v>-3.97899348055193</v>
      </c>
      <c r="D101" s="30" t="n">
        <f aca="false">D98-D100</f>
        <v>-5.40850299882749</v>
      </c>
      <c r="E101" s="30" t="n">
        <f aca="false">E98-E100</f>
        <v>-2.44832382871483</v>
      </c>
      <c r="F101" s="30" t="n">
        <f aca="false">F98-F100</f>
        <v>1.10272238302559</v>
      </c>
      <c r="G101" s="30" t="n">
        <f aca="false">G98-G100</f>
        <v>-1.23007645576821</v>
      </c>
      <c r="H101" s="30" t="n">
        <f aca="false">H98-H100</f>
        <v>0.552998586817729</v>
      </c>
      <c r="I101" s="30" t="n">
        <f aca="false">I98-I100</f>
        <v>-0.29651225970278</v>
      </c>
      <c r="J101" s="30" t="n">
        <f aca="false">J98-J100</f>
        <v>1.17702996742436</v>
      </c>
      <c r="K101" s="30" t="n">
        <f aca="false">K98-K100</f>
        <v>0.475776146379022</v>
      </c>
      <c r="L101" s="30" t="n">
        <f aca="false">L98-L100</f>
        <v>1.19312399872339</v>
      </c>
      <c r="M101" s="30" t="n">
        <f aca="false">M98-M100</f>
        <v>1.6889259607751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0</v>
      </c>
      <c r="F102" s="32" t="n">
        <f aca="false">IF(F101&gt;0,F101/$B$7,0)</f>
        <v>27.5680595756398</v>
      </c>
      <c r="G102" s="32" t="n">
        <f aca="false">IF(G101&gt;0,G101/$B$7,0)</f>
        <v>0</v>
      </c>
      <c r="H102" s="32" t="n">
        <f aca="false">IF(H101&gt;0,H101/$B$7,0)</f>
        <v>13.8249646704432</v>
      </c>
      <c r="I102" s="32" t="n">
        <f aca="false">IF(I101&gt;0,I101/$B$7,0)</f>
        <v>0</v>
      </c>
      <c r="J102" s="32" t="n">
        <f aca="false">IF(J101&gt;0,J101/$B$7,0)</f>
        <v>29.4257491856091</v>
      </c>
      <c r="K102" s="32" t="n">
        <f aca="false">IF(K101&gt;0,K101/$B$7,0)</f>
        <v>11.8944036594756</v>
      </c>
      <c r="L102" s="32" t="n">
        <f aca="false">IF(L101&gt;0,L101/$B$7,0)</f>
        <v>29.8280999680847</v>
      </c>
      <c r="M102" s="32" t="n">
        <f aca="false">IF(M101&gt;0,M101/$B$7,0)</f>
        <v>42.2231490193774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</v>
      </c>
      <c r="F103" s="33" t="n">
        <f aca="false">IF(F101&gt;0,F102/$B$9,0)</f>
        <v>0.689201489390996</v>
      </c>
      <c r="G103" s="33" t="n">
        <f aca="false">IF(G101&gt;0,G102/$B$9,0)</f>
        <v>0</v>
      </c>
      <c r="H103" s="33" t="n">
        <f aca="false">IF(H101&gt;0,H102/$B$9,0)</f>
        <v>0.345624116761081</v>
      </c>
      <c r="I103" s="33" t="n">
        <f aca="false">IF(I101&gt;0,I102/$B$9,0)</f>
        <v>0</v>
      </c>
      <c r="J103" s="33" t="n">
        <f aca="false">IF(J101&gt;0,J102/$B$9,0)</f>
        <v>0.735643729640227</v>
      </c>
      <c r="K103" s="33" t="n">
        <f aca="false">IF(K101&gt;0,K102/$B$9,0)</f>
        <v>0.297360091486889</v>
      </c>
      <c r="L103" s="33" t="n">
        <f aca="false">IF(L101&gt;0,L102/$B$9,0)</f>
        <v>0.745702499202117</v>
      </c>
      <c r="M103" s="33" t="n">
        <f aca="false">IF(M101&gt;0,M102/$B$9,0)</f>
        <v>1.05557872548444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0</v>
      </c>
      <c r="F104" s="32" t="n">
        <f aca="false">IF(F101&gt;0,$B$9/F101,0)</f>
        <v>36.2738624115437</v>
      </c>
      <c r="G104" s="32" t="n">
        <f aca="false">IF(G101&gt;0,$B$9/G101,0)</f>
        <v>0</v>
      </c>
      <c r="H104" s="32" t="n">
        <f aca="false">IF(H101&gt;0,$B$9/H101,0)</f>
        <v>72.3329154061368</v>
      </c>
      <c r="I104" s="32" t="n">
        <f aca="false">IF(I101&gt;0,$B$9/I101,0)</f>
        <v>0</v>
      </c>
      <c r="J104" s="32" t="n">
        <f aca="false">IF(J101&gt;0,$B$9/J101,0)</f>
        <v>33.9838416242961</v>
      </c>
      <c r="K104" s="32" t="n">
        <f aca="false">IF(K101&gt;0,$B$9/K101,0)</f>
        <v>84.0731514272563</v>
      </c>
      <c r="L104" s="32" t="n">
        <f aca="false">IF(L101&gt;0,$B$9/L101,0)</f>
        <v>33.525434106429</v>
      </c>
      <c r="M104" s="32" t="n">
        <f aca="false">IF(M101&gt;0,$B$9/M101,0)</f>
        <v>23.6836906584365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7" t="n">
        <v>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1026720</v>
      </c>
      <c r="C37" s="21" t="n">
        <f aca="false">(C35*$D$17)*DAY(EOMONTH(C$25,0))*1440/$E$17*$B$12</f>
        <v>2931120</v>
      </c>
      <c r="D37" s="21" t="n">
        <f aca="false">(D35*$D$17)*DAY(EOMONTH(D$25,0))*1440/$E$17*$B$12</f>
        <v>4946223.6</v>
      </c>
      <c r="E37" s="21" t="n">
        <f aca="false">(E35*$D$17)*DAY(EOMONTH(E$25,0))*1440/$E$17*$B$12</f>
        <v>6813185.58</v>
      </c>
      <c r="F37" s="21" t="n">
        <f aca="false">(F35*$D$17)*DAY(EOMONTH(F$25,0))*1440/$E$17*$B$12</f>
        <v>7822832.22</v>
      </c>
      <c r="G37" s="21" t="n">
        <f aca="false">(G35*$D$17)*DAY(EOMONTH(G$25,0))*1440/$E$17*$B$12</f>
        <v>10518607.47195</v>
      </c>
      <c r="H37" s="21" t="n">
        <f aca="false">(H35*$D$17)*DAY(EOMONTH(H$25,0))*1440/$E$17*$B$12</f>
        <v>12012828.666075</v>
      </c>
      <c r="I37" s="21" t="n">
        <f aca="false">(I35*$D$17)*DAY(EOMONTH(I$25,0))*1440/$E$17*$B$12</f>
        <v>14370951.7758679</v>
      </c>
      <c r="J37" s="21" t="n">
        <f aca="false">(J35*$D$17)*DAY(EOMONTH(J$25,0))*1440/$E$17*$B$12</f>
        <v>15887381.9355512</v>
      </c>
      <c r="K37" s="21" t="n">
        <f aca="false">(K35*$D$17)*DAY(EOMONTH(K$25,0))*1440/$E$17*$B$12</f>
        <v>18576234.6896992</v>
      </c>
      <c r="L37" s="21" t="n">
        <f aca="false">(L35*$D$17)*DAY(EOMONTH(L$25,0))*1440/$E$17*$B$12</f>
        <v>20873798.7981817</v>
      </c>
      <c r="M37" s="21" t="n">
        <f aca="false">(M35*$D$17)*DAY(EOMONTH(M$25,0))*1440/$E$17*$B$12</f>
        <v>22582382.1499215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174.7356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498.86034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841.788753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1159.52359965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1331.5112341125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1790.14257808913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2044.51670102893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2445.76601325321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2703.94414219784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3161.45542528187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3552.47366105614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3843.39598423803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482112</v>
      </c>
      <c r="C47" s="21" t="n">
        <f aca="false">(C45*$D$18)*DAY(EOMONTH(C$25,0))*1440/$E$18*$B$12</f>
        <v>1427673.6</v>
      </c>
      <c r="D47" s="21" t="n">
        <f aca="false">(D45*$D$18)*DAY(EOMONTH(D$25,0))*1440/$E$18*$B$12</f>
        <v>2529930.9312</v>
      </c>
      <c r="E47" s="21" t="n">
        <f aca="false">(E45*$D$18)*DAY(EOMONTH(E$25,0))*1440/$E$18*$B$12</f>
        <v>3653780.285952</v>
      </c>
      <c r="F47" s="21" t="n">
        <f aca="false">(F45*$D$18)*DAY(EOMONTH(F$25,0))*1440/$E$18*$B$12</f>
        <v>4385324.16516096</v>
      </c>
      <c r="G47" s="21" t="n">
        <f aca="false">(G45*$D$18)*DAY(EOMONTH(G$25,0))*1440/$E$18*$B$12</f>
        <v>6143279.48900536</v>
      </c>
      <c r="H47" s="21" t="n">
        <f aca="false">(H45*$D$18)*DAY(EOMONTH(H$25,0))*1440/$E$18*$B$12</f>
        <v>7285243.86135208</v>
      </c>
      <c r="I47" s="21" t="n">
        <f aca="false">(I45*$D$18)*DAY(EOMONTH(I$25,0))*1440/$E$18*$B$12</f>
        <v>9020552.62580846</v>
      </c>
      <c r="J47" s="21" t="n">
        <f aca="false">(J45*$D$18)*DAY(EOMONTH(J$25,0))*1440/$E$18*$B$12</f>
        <v>10289690.6203142</v>
      </c>
      <c r="K47" s="21" t="n">
        <f aca="false">(K45*$D$18)*DAY(EOMONTH(K$25,0))*1440/$E$18*$B$12</f>
        <v>12377617.8609218</v>
      </c>
      <c r="L47" s="21" t="n">
        <f aca="false">(L45*$D$18)*DAY(EOMONTH(L$25,0))*1440/$E$18*$B$12</f>
        <v>14269782.3886121</v>
      </c>
      <c r="M47" s="21" t="n">
        <f aca="false">(M45*$D$18)*DAY(EOMONTH(M$25,0))*1440/$E$18*$B$12</f>
        <v>15798374.7671685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2.592</v>
      </c>
      <c r="C48" s="22" t="n">
        <f aca="false">(C45*$D$18)*Inputs!$B$8*$B$13*Inputs!$B$9*$F$18</f>
        <v>7.93152</v>
      </c>
      <c r="D48" s="22" t="n">
        <f aca="false">(D45*$D$18)*Inputs!$B$8*$B$13*Inputs!$B$9*$F$18</f>
        <v>13.6017792</v>
      </c>
      <c r="E48" s="22" t="n">
        <f aca="false">(E45*$D$18)*Inputs!$B$8*$B$13*Inputs!$B$9*$F$18</f>
        <v>19.643980032</v>
      </c>
      <c r="F48" s="22" t="n">
        <f aca="false">(F45*$D$18)*Inputs!$B$8*$B$13*Inputs!$B$9*$F$18</f>
        <v>26.10312003072</v>
      </c>
      <c r="G48" s="22" t="n">
        <f aca="false">(G45*$D$18)*Inputs!$B$8*$B$13*Inputs!$B$9*$F$18</f>
        <v>33.0283843494912</v>
      </c>
      <c r="H48" s="22" t="n">
        <f aca="false">(H45*$D$18)*Inputs!$B$8*$B$13*Inputs!$B$9*$F$18</f>
        <v>40.4735770075116</v>
      </c>
      <c r="I48" s="22" t="n">
        <f aca="false">(I45*$D$18)*Inputs!$B$8*$B$13*Inputs!$B$9*$F$18</f>
        <v>48.4975947624111</v>
      </c>
      <c r="J48" s="22" t="n">
        <f aca="false">(J45*$D$18)*Inputs!$B$8*$B$13*Inputs!$B$9*$F$18</f>
        <v>57.1649478906347</v>
      </c>
      <c r="K48" s="22" t="n">
        <f aca="false">(K45*$D$18)*Inputs!$B$8*$B$13*Inputs!$B$9*$F$18</f>
        <v>66.5463325856013</v>
      </c>
      <c r="L48" s="22" t="n">
        <f aca="false">(L45*$D$18)*Inputs!$B$8*$B$13*Inputs!$B$9*$F$18</f>
        <v>76.7192601538285</v>
      </c>
      <c r="M48" s="22" t="n">
        <f aca="false">(M45*$D$18)*Inputs!$B$8*$B$13*Inputs!$B$9*$F$18</f>
        <v>87.7687487064916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87.16202496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256.4656459776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452.941842180096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653.689273916252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788.417771631295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1098.38836373055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1304.47923595216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1612.37219397017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1842.05350029829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2212.08016228978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2550.10312933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2827.73167136116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803520</v>
      </c>
      <c r="C57" s="21" t="n">
        <f aca="false">(C55*$D$19)*DAY(EOMONTH(C$25,0))*1440/$E$19*$B$12</f>
        <v>2379456</v>
      </c>
      <c r="D57" s="21" t="n">
        <f aca="false">(D55*$D$19)*DAY(EOMONTH(D$25,0))*1440/$E$19*$B$12</f>
        <v>4216551.552</v>
      </c>
      <c r="E57" s="21" t="n">
        <f aca="false">(E55*$D$19)*DAY(EOMONTH(E$25,0))*1440/$E$19*$B$12</f>
        <v>6089633.80992</v>
      </c>
      <c r="F57" s="21" t="n">
        <f aca="false">(F55*$D$19)*DAY(EOMONTH(F$25,0))*1440/$E$19*$B$12</f>
        <v>7308873.6086016</v>
      </c>
      <c r="G57" s="21" t="n">
        <f aca="false">(G55*$D$19)*DAY(EOMONTH(G$25,0))*1440/$E$19*$B$12</f>
        <v>10238799.1483423</v>
      </c>
      <c r="H57" s="21" t="n">
        <f aca="false">(H55*$D$19)*DAY(EOMONTH(H$25,0))*1440/$E$19*$B$12</f>
        <v>12142073.1022535</v>
      </c>
      <c r="I57" s="21" t="n">
        <f aca="false">(I55*$D$19)*DAY(EOMONTH(I$25,0))*1440/$E$19*$B$12</f>
        <v>15034254.3763474</v>
      </c>
      <c r="J57" s="21" t="n">
        <f aca="false">(J55*$D$19)*DAY(EOMONTH(J$25,0))*1440/$E$19*$B$12</f>
        <v>17149484.3671904</v>
      </c>
      <c r="K57" s="21" t="n">
        <f aca="false">(K55*$D$19)*DAY(EOMONTH(K$25,0))*1440/$E$19*$B$12</f>
        <v>20629363.1015364</v>
      </c>
      <c r="L57" s="21" t="n">
        <f aca="false">(L55*$D$19)*DAY(EOMONTH(L$25,0))*1440/$E$19*$B$12</f>
        <v>23782970.6476868</v>
      </c>
      <c r="M57" s="21" t="n">
        <f aca="false">(M55*$D$19)*DAY(EOMONTH(M$25,0))*1440/$E$19*$B$12</f>
        <v>26330624.6119475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4.32</v>
      </c>
      <c r="C58" s="22" t="n">
        <f aca="false">(C55*$D$19)*Inputs!$B$8*$B$13*Inputs!$B$9*$F$19</f>
        <v>13.2192</v>
      </c>
      <c r="D58" s="22" t="n">
        <f aca="false">(D55*$D$19)*Inputs!$B$8*$B$13*Inputs!$B$9*$F$19</f>
        <v>22.669632</v>
      </c>
      <c r="E58" s="22" t="n">
        <f aca="false">(E55*$D$19)*Inputs!$B$8*$B$13*Inputs!$B$9*$F$19</f>
        <v>32.73996672</v>
      </c>
      <c r="F58" s="22" t="n">
        <f aca="false">(F55*$D$19)*Inputs!$B$8*$B$13*Inputs!$B$9*$F$19</f>
        <v>43.5052000512</v>
      </c>
      <c r="G58" s="22" t="n">
        <f aca="false">(G55*$D$19)*Inputs!$B$8*$B$13*Inputs!$B$9*$F$19</f>
        <v>55.047307249152</v>
      </c>
      <c r="H58" s="22" t="n">
        <f aca="false">(H55*$D$19)*Inputs!$B$8*$B$13*Inputs!$B$9*$F$19</f>
        <v>67.4559616791859</v>
      </c>
      <c r="I58" s="22" t="n">
        <f aca="false">(I55*$D$19)*Inputs!$B$8*$B$13*Inputs!$B$9*$F$19</f>
        <v>80.8293246040185</v>
      </c>
      <c r="J58" s="22" t="n">
        <f aca="false">(J55*$D$19)*Inputs!$B$8*$B$13*Inputs!$B$9*$F$19</f>
        <v>95.2749131510578</v>
      </c>
      <c r="K58" s="22" t="n">
        <f aca="false">(K55*$D$19)*Inputs!$B$8*$B$13*Inputs!$B$9*$F$19</f>
        <v>110.910554309336</v>
      </c>
      <c r="L58" s="22" t="n">
        <f aca="false">(L55*$D$19)*Inputs!$B$8*$B$13*Inputs!$B$9*$F$19</f>
        <v>127.865433589714</v>
      </c>
      <c r="M58" s="22" t="n">
        <f aca="false">(M55*$D$19)*Inputs!$B$8*$B$13*Inputs!$B$9*$F$19</f>
        <v>146.281247844153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140.5852416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415.627255296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735.51031382016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1062.01020017295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1277.91620880552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1785.26399779948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2118.77827481809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2621.18293112931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2992.36840306052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3596.50138254512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4146.22929995777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4594.12002514432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803520</v>
      </c>
      <c r="C67" s="21" t="n">
        <f aca="false">(C65*$D$20)*DAY(EOMONTH(C$25,0))*1440/$E$20*$B$12</f>
        <v>2379456</v>
      </c>
      <c r="D67" s="21" t="n">
        <f aca="false">(D65*$D$20)*DAY(EOMONTH(D$25,0))*1440/$E$20*$B$12</f>
        <v>4216551.552</v>
      </c>
      <c r="E67" s="21" t="n">
        <f aca="false">(E65*$D$20)*DAY(EOMONTH(E$25,0))*1440/$E$20*$B$12</f>
        <v>6089633.80992</v>
      </c>
      <c r="F67" s="21" t="n">
        <f aca="false">(F65*$D$20)*DAY(EOMONTH(F$25,0))*1440/$E$20*$B$12</f>
        <v>7308873.6086016</v>
      </c>
      <c r="G67" s="21" t="n">
        <f aca="false">(G65*$D$20)*DAY(EOMONTH(G$25,0))*1440/$E$20*$B$12</f>
        <v>10238799.1483423</v>
      </c>
      <c r="H67" s="21" t="n">
        <f aca="false">(H65*$D$20)*DAY(EOMONTH(H$25,0))*1440/$E$20*$B$12</f>
        <v>12142073.1022535</v>
      </c>
      <c r="I67" s="21" t="n">
        <f aca="false">(I65*$D$20)*DAY(EOMONTH(I$25,0))*1440/$E$20*$B$12</f>
        <v>15034254.3763474</v>
      </c>
      <c r="J67" s="21" t="n">
        <f aca="false">(J65*$D$20)*DAY(EOMONTH(J$25,0))*1440/$E$20*$B$12</f>
        <v>17149484.3671904</v>
      </c>
      <c r="K67" s="21" t="n">
        <f aca="false">(K65*$D$20)*DAY(EOMONTH(K$25,0))*1440/$E$20*$B$12</f>
        <v>20629363.1015364</v>
      </c>
      <c r="L67" s="21" t="n">
        <f aca="false">(L65*$D$20)*DAY(EOMONTH(L$25,0))*1440/$E$20*$B$12</f>
        <v>23782970.6476868</v>
      </c>
      <c r="M67" s="21" t="n">
        <f aca="false">(M65*$D$20)*DAY(EOMONTH(M$25,0))*1440/$E$20*$B$12</f>
        <v>26330624.6119475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4.32</v>
      </c>
      <c r="C68" s="22" t="n">
        <f aca="false">(C65*$D$20)*Inputs!$B$8*$B$13*Inputs!$B$9*$F$20</f>
        <v>13.2192</v>
      </c>
      <c r="D68" s="22" t="n">
        <f aca="false">(D65*$D$20)*Inputs!$B$8*$B$13*Inputs!$B$9*$F$20</f>
        <v>22.669632</v>
      </c>
      <c r="E68" s="22" t="n">
        <f aca="false">(E65*$D$20)*Inputs!$B$8*$B$13*Inputs!$B$9*$F$20</f>
        <v>32.73996672</v>
      </c>
      <c r="F68" s="22" t="n">
        <f aca="false">(F65*$D$20)*Inputs!$B$8*$B$13*Inputs!$B$9*$F$20</f>
        <v>43.5052000512</v>
      </c>
      <c r="G68" s="22" t="n">
        <f aca="false">(G65*$D$20)*Inputs!$B$8*$B$13*Inputs!$B$9*$F$20</f>
        <v>55.047307249152</v>
      </c>
      <c r="H68" s="22" t="n">
        <f aca="false">(H65*$D$20)*Inputs!$B$8*$B$13*Inputs!$B$9*$F$20</f>
        <v>67.455961679186</v>
      </c>
      <c r="I68" s="22" t="n">
        <f aca="false">(I65*$D$20)*Inputs!$B$8*$B$13*Inputs!$B$9*$F$20</f>
        <v>80.8293246040185</v>
      </c>
      <c r="J68" s="22" t="n">
        <f aca="false">(J65*$D$20)*Inputs!$B$8*$B$13*Inputs!$B$9*$F$20</f>
        <v>95.2749131510578</v>
      </c>
      <c r="K68" s="22" t="n">
        <f aca="false">(K65*$D$20)*Inputs!$B$8*$B$13*Inputs!$B$9*$F$20</f>
        <v>110.910554309335</v>
      </c>
      <c r="L68" s="22" t="n">
        <f aca="false">(L65*$D$20)*Inputs!$B$8*$B$13*Inputs!$B$9*$F$20</f>
        <v>127.865433589714</v>
      </c>
      <c r="M68" s="22" t="n">
        <f aca="false">(M65*$D$20)*Inputs!$B$8*$B$13*Inputs!$B$9*$F$20</f>
        <v>146.281247844153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139.5244416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413.101207296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731.42685974016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1056.26579145615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1270.3948543574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1775.83610324128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2107.29936232542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2607.49222804787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2976.287286305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3577.83166448276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4124.75134004314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4569.59064999403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3115872</v>
      </c>
      <c r="C78" s="26" t="n">
        <f aca="false">C37+C47+C57+C67</f>
        <v>9117705.6</v>
      </c>
      <c r="D78" s="26" t="n">
        <f aca="false">D37+D47+D57+D67</f>
        <v>15909257.6352</v>
      </c>
      <c r="E78" s="26" t="n">
        <f aca="false">E37+E47+E57+E67</f>
        <v>22646233.485792</v>
      </c>
      <c r="F78" s="26" t="n">
        <f aca="false">F37+F47+F57+F67</f>
        <v>26825903.6023642</v>
      </c>
      <c r="G78" s="26" t="n">
        <f aca="false">G37+G47+G57+G67</f>
        <v>37139485.2576399</v>
      </c>
      <c r="H78" s="26" t="n">
        <f aca="false">H37+H47+H57+H67</f>
        <v>43582218.731934</v>
      </c>
      <c r="I78" s="26" t="n">
        <f aca="false">I37+I47+I57+I67</f>
        <v>53460013.1543712</v>
      </c>
      <c r="J78" s="26" t="n">
        <f aca="false">J37+J47+J57+J67</f>
        <v>60476041.2902462</v>
      </c>
      <c r="K78" s="26" t="n">
        <f aca="false">K37+K47+K57+K67</f>
        <v>72212578.7536938</v>
      </c>
      <c r="L78" s="26" t="n">
        <f aca="false">L37+L47+L57+L67</f>
        <v>82709522.4821675</v>
      </c>
      <c r="M78" s="26" t="n">
        <f aca="false">M37+M47+M57+M67</f>
        <v>91042006.140985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11.232</v>
      </c>
      <c r="C79" s="27" t="n">
        <f aca="false">C38+C48+C58+C68</f>
        <v>34.36992</v>
      </c>
      <c r="D79" s="27" t="n">
        <f aca="false">D38+D48+D58+D68</f>
        <v>58.9410432</v>
      </c>
      <c r="E79" s="27" t="n">
        <f aca="false">E38+E48+E58+E68</f>
        <v>85.123913472</v>
      </c>
      <c r="F79" s="27" t="n">
        <f aca="false">F38+F48+F58+F68</f>
        <v>113.11352013312</v>
      </c>
      <c r="G79" s="27" t="n">
        <f aca="false">G38+G48+G58+G68</f>
        <v>143.122998847795</v>
      </c>
      <c r="H79" s="27" t="n">
        <f aca="false">H38+H48+H58+H68</f>
        <v>175.385500365883</v>
      </c>
      <c r="I79" s="27" t="n">
        <f aca="false">I38+I48+I58+I68</f>
        <v>210.156243970448</v>
      </c>
      <c r="J79" s="27" t="n">
        <f aca="false">J38+J48+J58+J68</f>
        <v>247.71477419275</v>
      </c>
      <c r="K79" s="27" t="n">
        <f aca="false">K38+K48+K58+K68</f>
        <v>288.367441204272</v>
      </c>
      <c r="L79" s="27" t="n">
        <f aca="false">L38+L48+L58+L68</f>
        <v>332.450127333257</v>
      </c>
      <c r="M79" s="27" t="n">
        <f aca="false">M38+M48+M58+M68</f>
        <v>380.331244394797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542.00730816</v>
      </c>
      <c r="C80" s="29" t="n">
        <f aca="false">C39+C49+C59+C69</f>
        <v>1584.0544485696</v>
      </c>
      <c r="D80" s="29" t="n">
        <f aca="false">D39+D49+D59+D69</f>
        <v>2761.66776874042</v>
      </c>
      <c r="E80" s="29" t="n">
        <f aca="false">E39+E49+E59+E69</f>
        <v>3931.48886519536</v>
      </c>
      <c r="F80" s="29" t="n">
        <f aca="false">F39+F49+F59+F69</f>
        <v>4668.24006890672</v>
      </c>
      <c r="G80" s="29" t="n">
        <f aca="false">G39+G49+G59+G69</f>
        <v>6449.63104286045</v>
      </c>
      <c r="H80" s="29" t="n">
        <f aca="false">H39+H49+H59+H69</f>
        <v>7575.0735741246</v>
      </c>
      <c r="I80" s="29" t="n">
        <f aca="false">I39+I49+I59+I69</f>
        <v>9286.81336640057</v>
      </c>
      <c r="J80" s="29" t="n">
        <f aca="false">J39+J49+J59+J69</f>
        <v>10514.6533318617</v>
      </c>
      <c r="K80" s="29" t="n">
        <f aca="false">K39+K49+K59+K69</f>
        <v>12547.8686345995</v>
      </c>
      <c r="L80" s="29" t="n">
        <f aca="false">L39+L49+L59+L69</f>
        <v>14373.557430387</v>
      </c>
      <c r="M80" s="29" t="n">
        <f aca="false">M39+M49+M59+M69</f>
        <v>15834.8383307376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642.00730816</v>
      </c>
      <c r="C83" s="28" t="n">
        <f aca="false">C80+C81+C82</f>
        <v>1684.0544485696</v>
      </c>
      <c r="D83" s="28" t="n">
        <f aca="false">D80+D81+D82</f>
        <v>2961.66776874042</v>
      </c>
      <c r="E83" s="28" t="n">
        <f aca="false">E80+E81+E82</f>
        <v>4131.48886519536</v>
      </c>
      <c r="F83" s="28" t="n">
        <f aca="false">F80+F81+F82</f>
        <v>4968.24006890672</v>
      </c>
      <c r="G83" s="28" t="n">
        <f aca="false">G80+G81+G82</f>
        <v>6749.63104286045</v>
      </c>
      <c r="H83" s="28" t="n">
        <f aca="false">H80+H81+H82</f>
        <v>7975.0735741246</v>
      </c>
      <c r="I83" s="28" t="n">
        <f aca="false">I80+I81+I82</f>
        <v>9686.81336640057</v>
      </c>
      <c r="J83" s="28" t="n">
        <f aca="false">J80+J81+J82</f>
        <v>11014.6533318617</v>
      </c>
      <c r="K83" s="28" t="n">
        <f aca="false">K80+K81+K82</f>
        <v>13047.8686345995</v>
      </c>
      <c r="L83" s="28" t="n">
        <f aca="false">L80+L81+L82</f>
        <v>14973.557430387</v>
      </c>
      <c r="M83" s="28" t="n">
        <f aca="false">M80+M81+M82</f>
        <v>16534.8383307376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-498.00730816</v>
      </c>
      <c r="C84" s="28" t="n">
        <f aca="false">C77-C83</f>
        <v>-1243.4144485696</v>
      </c>
      <c r="D84" s="28" t="n">
        <f aca="false">D77-D83</f>
        <v>-2206.01336874042</v>
      </c>
      <c r="E84" s="28" t="n">
        <f aca="false">E77-E83</f>
        <v>-3040.15664119536</v>
      </c>
      <c r="F84" s="28" t="n">
        <f aca="false">F77-F83</f>
        <v>-3518.06673386672</v>
      </c>
      <c r="G84" s="28" t="n">
        <f aca="false">G77-G83</f>
        <v>-4914.72080122204</v>
      </c>
      <c r="H84" s="28" t="n">
        <f aca="false">H77-H83</f>
        <v>-5726.54151815173</v>
      </c>
      <c r="I84" s="28" t="n">
        <f aca="false">I77-I83</f>
        <v>-6992.50254626662</v>
      </c>
      <c r="J84" s="28" t="n">
        <f aca="false">J77-J83</f>
        <v>-7838.82289349306</v>
      </c>
      <c r="K84" s="28" t="n">
        <f aca="false">K77-K83</f>
        <v>-9350.85015762169</v>
      </c>
      <c r="L84" s="28" t="n">
        <f aca="false">L77-L83</f>
        <v>-10711.3763107299</v>
      </c>
      <c r="M84" s="28" t="n">
        <f aca="false">M77-M83</f>
        <v>-11658.7967359325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-3.45838408444445</v>
      </c>
      <c r="C85" s="31" t="n">
        <f aca="false">IFERROR(C84/C77,0)</f>
        <v>-2.82183743774873</v>
      </c>
      <c r="D85" s="31" t="n">
        <f aca="false">IFERROR(D84/D77,0)</f>
        <v>-2.91934165769486</v>
      </c>
      <c r="E85" s="31" t="n">
        <f aca="false">IFERROR(E84/E77,0)</f>
        <v>-2.78572974786032</v>
      </c>
      <c r="F85" s="31" t="n">
        <f aca="false">IFERROR(F84/F77,0)</f>
        <v>-2.42596291688792</v>
      </c>
      <c r="G85" s="31" t="n">
        <f aca="false">IFERROR(G84/G77,0)</f>
        <v>-2.67845297807792</v>
      </c>
      <c r="H85" s="31" t="n">
        <f aca="false">IFERROR(H84/H77,0)</f>
        <v>-2.54679113999736</v>
      </c>
      <c r="I85" s="31" t="n">
        <f aca="false">IFERROR(I84/I77,0)</f>
        <v>-2.59528429088927</v>
      </c>
      <c r="J85" s="31" t="n">
        <f aca="false">IFERROR(J84/J77,0)</f>
        <v>-2.46827500573986</v>
      </c>
      <c r="K85" s="31" t="n">
        <f aca="false">IFERROR(K84/K77,0)</f>
        <v>-2.52929494830808</v>
      </c>
      <c r="L85" s="31" t="n">
        <f aca="false">IFERROR(L84/L77,0)</f>
        <v>-2.51312086699675</v>
      </c>
      <c r="M85" s="31" t="n">
        <f aca="false">IFERROR(M84/M77,0)</f>
        <v>-2.39103717826232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5678.9226288</v>
      </c>
      <c r="K91" s="28" t="n">
        <f aca="false">K86+K87+K88+K89+K90</f>
        <v>5781.81489168</v>
      </c>
      <c r="L91" s="28" t="n">
        <f aca="false">L86+L87+L88+L89+L90</f>
        <v>5894.996380848</v>
      </c>
      <c r="M91" s="28" t="n">
        <f aca="false">M86+M87+M88+M89+M90</f>
        <v>6019.4960189328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-1128.00730816</v>
      </c>
      <c r="C92" s="28" t="n">
        <f aca="false">C84-C91</f>
        <v>-1921.4144485696</v>
      </c>
      <c r="D92" s="28" t="n">
        <f aca="false">D84-D91</f>
        <v>-2936.81336874042</v>
      </c>
      <c r="E92" s="28" t="n">
        <f aca="false">E84-E91</f>
        <v>-5329.03664119536</v>
      </c>
      <c r="F92" s="28" t="n">
        <f aca="false">F84-F91</f>
        <v>-5870.83473386672</v>
      </c>
      <c r="G92" s="28" t="n">
        <f aca="false">G84-G91</f>
        <v>-7337.76560122205</v>
      </c>
      <c r="H92" s="28" t="n">
        <f aca="false">H84-H91</f>
        <v>-8226.89079815173</v>
      </c>
      <c r="I92" s="28" t="n">
        <f aca="false">I84-I91</f>
        <v>-9577.88675426662</v>
      </c>
      <c r="J92" s="28" t="n">
        <f aca="false">J84-J91</f>
        <v>-13517.7455222931</v>
      </c>
      <c r="K92" s="28" t="n">
        <f aca="false">K84-K91</f>
        <v>-15132.6650493017</v>
      </c>
      <c r="L92" s="28" t="n">
        <f aca="false">L84-L91</f>
        <v>-16606.3726915779</v>
      </c>
      <c r="M92" s="28" t="n">
        <f aca="false">M84-M91</f>
        <v>-17678.2927548653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-1128.00730816</v>
      </c>
      <c r="C93" s="30" t="n">
        <f aca="false">B93+C92</f>
        <v>-3049.4217567296</v>
      </c>
      <c r="D93" s="30" t="n">
        <f aca="false">C93+D92</f>
        <v>-5986.23512547002</v>
      </c>
      <c r="E93" s="30" t="n">
        <f aca="false">D93+E92</f>
        <v>-11315.2717666654</v>
      </c>
      <c r="F93" s="30" t="n">
        <f aca="false">E93+F92</f>
        <v>-17186.1065005321</v>
      </c>
      <c r="G93" s="30" t="n">
        <f aca="false">F93+G92</f>
        <v>-24523.8721017541</v>
      </c>
      <c r="H93" s="30" t="n">
        <f aca="false">G93+H92</f>
        <v>-32750.7628999059</v>
      </c>
      <c r="I93" s="30" t="n">
        <f aca="false">H93+I92</f>
        <v>-42328.6496541725</v>
      </c>
      <c r="J93" s="30" t="n">
        <f aca="false">I93+J92</f>
        <v>-55846.3951764656</v>
      </c>
      <c r="K93" s="30" t="n">
        <f aca="false">J93+K92</f>
        <v>-70979.0602257672</v>
      </c>
      <c r="L93" s="30" t="n">
        <f aca="false">K93+L92</f>
        <v>-87585.4329173452</v>
      </c>
      <c r="M93" s="30" t="n">
        <f aca="false">L93+M92</f>
        <v>-105263.72567221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13871.99269184</v>
      </c>
      <c r="C94" s="28" t="n">
        <f aca="false">Inputs!$B$49+C93</f>
        <v>11950.5782432704</v>
      </c>
      <c r="D94" s="28" t="n">
        <f aca="false">Inputs!$B$49+D93</f>
        <v>9013.76487452998</v>
      </c>
      <c r="E94" s="28" t="n">
        <f aca="false">Inputs!$B$49+E93</f>
        <v>3684.72823333462</v>
      </c>
      <c r="F94" s="28" t="n">
        <f aca="false">Inputs!$B$49+F93</f>
        <v>-2186.10650053209</v>
      </c>
      <c r="G94" s="28" t="n">
        <f aca="false">Inputs!$B$49+G93</f>
        <v>-9523.87210175414</v>
      </c>
      <c r="H94" s="28" t="n">
        <f aca="false">Inputs!$B$49+H93</f>
        <v>-17750.7628999059</v>
      </c>
      <c r="I94" s="28" t="n">
        <f aca="false">Inputs!$B$49+I93</f>
        <v>-27328.6496541725</v>
      </c>
      <c r="J94" s="28" t="n">
        <f aca="false">Inputs!$B$49+J93</f>
        <v>-40846.3951764656</v>
      </c>
      <c r="K94" s="28" t="n">
        <f aca="false">Inputs!$B$49+K93</f>
        <v>-55979.0602257672</v>
      </c>
      <c r="L94" s="28" t="n">
        <f aca="false">Inputs!$B$49+L93</f>
        <v>-72585.4329173452</v>
      </c>
      <c r="M94" s="28" t="n">
        <f aca="false">Inputs!$B$49+M93</f>
        <v>-90263.7256722104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3871.99269184</v>
      </c>
      <c r="C95" s="30" t="n">
        <f aca="false">Inputs!$B$54+C93</f>
        <v>1950.5782432704</v>
      </c>
      <c r="D95" s="30" t="n">
        <f aca="false">Inputs!$B$54+D93</f>
        <v>-986.235125470018</v>
      </c>
      <c r="E95" s="30" t="n">
        <f aca="false">Inputs!$B$54+E93</f>
        <v>-6315.27176666538</v>
      </c>
      <c r="F95" s="30" t="n">
        <f aca="false">Inputs!$B$54+F93</f>
        <v>-12186.1065005321</v>
      </c>
      <c r="G95" s="30" t="n">
        <f aca="false">Inputs!$B$54+G93</f>
        <v>-19523.8721017541</v>
      </c>
      <c r="H95" s="30" t="n">
        <f aca="false">Inputs!$B$54+H93</f>
        <v>-27750.7628999059</v>
      </c>
      <c r="I95" s="30" t="n">
        <f aca="false">Inputs!$B$54+I93</f>
        <v>-37328.6496541725</v>
      </c>
      <c r="J95" s="30" t="n">
        <f aca="false">Inputs!$B$54+J93</f>
        <v>-50846.3951764656</v>
      </c>
      <c r="K95" s="30" t="n">
        <f aca="false">Inputs!$B$54+K93</f>
        <v>-65979.0602257672</v>
      </c>
      <c r="L95" s="30" t="n">
        <f aca="false">Inputs!$B$54+L93</f>
        <v>-82585.4329173452</v>
      </c>
      <c r="M95" s="30" t="n">
        <f aca="false">Inputs!$B$54+M93</f>
        <v>-100263.72567221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13871.99269184</v>
      </c>
      <c r="C96" s="29" t="n">
        <f aca="false">Inputs!$B$55+C93</f>
        <v>11950.5782432704</v>
      </c>
      <c r="D96" s="29" t="n">
        <f aca="false">Inputs!$B$55+D93</f>
        <v>9013.76487452998</v>
      </c>
      <c r="E96" s="29" t="n">
        <f aca="false">Inputs!$B$55+E93</f>
        <v>3684.72823333462</v>
      </c>
      <c r="F96" s="29" t="n">
        <f aca="false">Inputs!$B$55+F93</f>
        <v>-2186.10650053209</v>
      </c>
      <c r="G96" s="29" t="n">
        <f aca="false">Inputs!$B$55+G93</f>
        <v>-9523.87210175414</v>
      </c>
      <c r="H96" s="29" t="n">
        <f aca="false">Inputs!$B$55+H93</f>
        <v>-17750.7628999059</v>
      </c>
      <c r="I96" s="29" t="n">
        <f aca="false">Inputs!$B$55+I93</f>
        <v>-27328.6496541725</v>
      </c>
      <c r="J96" s="29" t="n">
        <f aca="false">Inputs!$B$55+J93</f>
        <v>-40846.3951764656</v>
      </c>
      <c r="K96" s="29" t="n">
        <f aca="false">Inputs!$B$55+K93</f>
        <v>-55979.0602257672</v>
      </c>
      <c r="L96" s="29" t="n">
        <f aca="false">Inputs!$B$55+L93</f>
        <v>-72585.4329173452</v>
      </c>
      <c r="M96" s="29" t="n">
        <f aca="false">Inputs!$B$55+M93</f>
        <v>-90263.7256722104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28871.99269184</v>
      </c>
      <c r="C97" s="30" t="n">
        <f aca="false">Inputs!$B$56+C93</f>
        <v>26950.5782432704</v>
      </c>
      <c r="D97" s="30" t="n">
        <f aca="false">Inputs!$B$56+D93</f>
        <v>24013.76487453</v>
      </c>
      <c r="E97" s="30" t="n">
        <f aca="false">Inputs!$B$56+E93</f>
        <v>18684.7282333346</v>
      </c>
      <c r="F97" s="30" t="n">
        <f aca="false">Inputs!$B$56+F93</f>
        <v>12813.8934994679</v>
      </c>
      <c r="G97" s="30" t="n">
        <f aca="false">Inputs!$B$56+G93</f>
        <v>5476.12789824586</v>
      </c>
      <c r="H97" s="30" t="n">
        <f aca="false">Inputs!$B$56+H93</f>
        <v>-2750.76289990587</v>
      </c>
      <c r="I97" s="30" t="n">
        <f aca="false">Inputs!$B$56+I93</f>
        <v>-12328.6496541725</v>
      </c>
      <c r="J97" s="30" t="n">
        <f aca="false">Inputs!$B$56+J93</f>
        <v>-25846.3951764656</v>
      </c>
      <c r="K97" s="30" t="n">
        <f aca="false">Inputs!$B$56+K93</f>
        <v>-40979.0602257672</v>
      </c>
      <c r="L97" s="30" t="n">
        <f aca="false">Inputs!$B$56+L93</f>
        <v>-57585.4329173452</v>
      </c>
      <c r="M97" s="30" t="n">
        <f aca="false">Inputs!$B$56+M93</f>
        <v>-75263.7256722104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107.001218026667</v>
      </c>
      <c r="C100" s="29" t="n">
        <f aca="false">IFERROR(C83/C74,0)</f>
        <v>91.7240985059695</v>
      </c>
      <c r="D100" s="29" t="n">
        <f aca="false">IFERROR(D83/D74,0)</f>
        <v>94.0641997846767</v>
      </c>
      <c r="E100" s="29" t="n">
        <f aca="false">IFERROR(E83/E74,0)</f>
        <v>90.8575139486477</v>
      </c>
      <c r="F100" s="29" t="n">
        <f aca="false">IFERROR(F83/F74,0)</f>
        <v>82.22311000531</v>
      </c>
      <c r="G100" s="29" t="n">
        <f aca="false">IFERROR(G83/G74,0)</f>
        <v>88.28287147387</v>
      </c>
      <c r="H100" s="29" t="n">
        <f aca="false">IFERROR(H83/H74,0)</f>
        <v>85.1229873599366</v>
      </c>
      <c r="I100" s="29" t="n">
        <f aca="false">IFERROR(I83/I74,0)</f>
        <v>86.2868229813424</v>
      </c>
      <c r="J100" s="29" t="n">
        <f aca="false">IFERROR(J83/J74,0)</f>
        <v>83.2386001377567</v>
      </c>
      <c r="K100" s="29" t="n">
        <f aca="false">IFERROR(K83/K74,0)</f>
        <v>84.7030787593938</v>
      </c>
      <c r="L100" s="29" t="n">
        <f aca="false">IFERROR(L83/L74,0)</f>
        <v>84.3149008079219</v>
      </c>
      <c r="M100" s="29" t="n">
        <f aca="false">IFERROR(M83/M74,0)</f>
        <v>81.3848922782957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-83.0012180266667</v>
      </c>
      <c r="C101" s="30" t="n">
        <f aca="false">C98-C100</f>
        <v>-67.7240985059695</v>
      </c>
      <c r="D101" s="30" t="n">
        <f aca="false">D98-D100</f>
        <v>-70.0641997846767</v>
      </c>
      <c r="E101" s="30" t="n">
        <f aca="false">E98-E100</f>
        <v>-66.8575139486476</v>
      </c>
      <c r="F101" s="30" t="n">
        <f aca="false">F98-F100</f>
        <v>-58.22311000531</v>
      </c>
      <c r="G101" s="30" t="n">
        <f aca="false">G98-G100</f>
        <v>-64.28287147387</v>
      </c>
      <c r="H101" s="30" t="n">
        <f aca="false">H98-H100</f>
        <v>-61.1229873599366</v>
      </c>
      <c r="I101" s="30" t="n">
        <f aca="false">I98-I100</f>
        <v>-62.2868229813424</v>
      </c>
      <c r="J101" s="30" t="n">
        <f aca="false">J98-J100</f>
        <v>-59.2386001377567</v>
      </c>
      <c r="K101" s="30" t="n">
        <f aca="false">K98-K100</f>
        <v>-60.7030787593938</v>
      </c>
      <c r="L101" s="30" t="n">
        <f aca="false">L98-L100</f>
        <v>-60.3149008079219</v>
      </c>
      <c r="M101" s="30" t="n">
        <f aca="false">M98-M100</f>
        <v>-57.3848922782957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0</v>
      </c>
      <c r="F102" s="32" t="n">
        <f aca="false">IF(F101&gt;0,F101/$B$7,0)</f>
        <v>0</v>
      </c>
      <c r="G102" s="32" t="n">
        <f aca="false">IF(G101&gt;0,G101/$B$7,0)</f>
        <v>0</v>
      </c>
      <c r="H102" s="32" t="n">
        <f aca="false">IF(H101&gt;0,H101/$B$7,0)</f>
        <v>0</v>
      </c>
      <c r="I102" s="32" t="n">
        <f aca="false">IF(I101&gt;0,I101/$B$7,0)</f>
        <v>0</v>
      </c>
      <c r="J102" s="32" t="n">
        <f aca="false">IF(J101&gt;0,J101/$B$7,0)</f>
        <v>0</v>
      </c>
      <c r="K102" s="32" t="n">
        <f aca="false">IF(K101&gt;0,K101/$B$7,0)</f>
        <v>0</v>
      </c>
      <c r="L102" s="32" t="n">
        <f aca="false">IF(L101&gt;0,L101/$B$7,0)</f>
        <v>0</v>
      </c>
      <c r="M102" s="32" t="n">
        <f aca="false">IF(M101&gt;0,M101/$B$7,0)</f>
        <v>0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</v>
      </c>
      <c r="F103" s="33" t="n">
        <f aca="false">IF(F101&gt;0,F102/$B$9,0)</f>
        <v>0</v>
      </c>
      <c r="G103" s="33" t="n">
        <f aca="false">IF(G101&gt;0,G102/$B$9,0)</f>
        <v>0</v>
      </c>
      <c r="H103" s="33" t="n">
        <f aca="false">IF(H101&gt;0,H102/$B$9,0)</f>
        <v>0</v>
      </c>
      <c r="I103" s="33" t="n">
        <f aca="false">IF(I101&gt;0,I102/$B$9,0)</f>
        <v>0</v>
      </c>
      <c r="J103" s="33" t="n">
        <f aca="false">IF(J101&gt;0,J102/$B$9,0)</f>
        <v>0</v>
      </c>
      <c r="K103" s="33" t="n">
        <f aca="false">IF(K101&gt;0,K102/$B$9,0)</f>
        <v>0</v>
      </c>
      <c r="L103" s="33" t="n">
        <f aca="false">IF(L101&gt;0,L102/$B$9,0)</f>
        <v>0</v>
      </c>
      <c r="M103" s="33" t="n">
        <f aca="false">IF(M101&gt;0,M102/$B$9,0)</f>
        <v>0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0</v>
      </c>
      <c r="F104" s="32" t="n">
        <f aca="false">IF(F101&gt;0,$B$9/F101,0)</f>
        <v>0</v>
      </c>
      <c r="G104" s="32" t="n">
        <f aca="false">IF(G101&gt;0,$B$9/G101,0)</f>
        <v>0</v>
      </c>
      <c r="H104" s="32" t="n">
        <f aca="false">IF(H101&gt;0,$B$9/H101,0)</f>
        <v>0</v>
      </c>
      <c r="I104" s="32" t="n">
        <f aca="false">IF(I101&gt;0,$B$9/I101,0)</f>
        <v>0</v>
      </c>
      <c r="J104" s="32" t="n">
        <f aca="false">IF(J101&gt;0,$B$9/J101,0)</f>
        <v>0</v>
      </c>
      <c r="K104" s="32" t="n">
        <f aca="false">IF(K101&gt;0,$B$9/K101,0)</f>
        <v>0</v>
      </c>
      <c r="L104" s="32" t="n">
        <f aca="false">IF(L101&gt;0,$B$9/L101,0)</f>
        <v>0</v>
      </c>
      <c r="M104" s="32" t="n">
        <f aca="false">IF(M101&gt;0,$B$9/M101,0)</f>
        <v>0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0" t="n">
        <f aca="false">Inputs!$B$5</f>
        <v>0.04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18" t="n">
        <v>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205344</v>
      </c>
      <c r="C37" s="21" t="n">
        <f aca="false">(C35*$D$17)*DAY(EOMONTH(C$25,0))*1440/$E$17*$B$12</f>
        <v>586224</v>
      </c>
      <c r="D37" s="21" t="n">
        <f aca="false">(D35*$D$17)*DAY(EOMONTH(D$25,0))*1440/$E$17*$B$12</f>
        <v>989244.72</v>
      </c>
      <c r="E37" s="21" t="n">
        <f aca="false">(E35*$D$17)*DAY(EOMONTH(E$25,0))*1440/$E$17*$B$12</f>
        <v>1362637.116</v>
      </c>
      <c r="F37" s="21" t="n">
        <f aca="false">(F35*$D$17)*DAY(EOMONTH(F$25,0))*1440/$E$17*$B$12</f>
        <v>1564566.444</v>
      </c>
      <c r="G37" s="21" t="n">
        <f aca="false">(G35*$D$17)*DAY(EOMONTH(G$25,0))*1440/$E$17*$B$12</f>
        <v>2103721.49439</v>
      </c>
      <c r="H37" s="21" t="n">
        <f aca="false">(H35*$D$17)*DAY(EOMONTH(H$25,0))*1440/$E$17*$B$12</f>
        <v>2402565.733215</v>
      </c>
      <c r="I37" s="21" t="n">
        <f aca="false">(I35*$D$17)*DAY(EOMONTH(I$25,0))*1440/$E$17*$B$12</f>
        <v>2874190.35517358</v>
      </c>
      <c r="J37" s="21" t="n">
        <f aca="false">(J35*$D$17)*DAY(EOMONTH(J$25,0))*1440/$E$17*$B$12</f>
        <v>3177476.38711024</v>
      </c>
      <c r="K37" s="21" t="n">
        <f aca="false">(K35*$D$17)*DAY(EOMONTH(K$25,0))*1440/$E$17*$B$12</f>
        <v>3715246.93793984</v>
      </c>
      <c r="L37" s="21" t="n">
        <f aca="false">(L35*$D$17)*DAY(EOMONTH(L$25,0))*1440/$E$17*$B$12</f>
        <v>4174759.75963634</v>
      </c>
      <c r="M37" s="21" t="n">
        <f aca="false">(M35*$D$17)*DAY(EOMONTH(M$25,0))*1440/$E$17*$B$12</f>
        <v>4516476.42998431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35.21208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100.5537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169.6341954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233.66296137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268.5373417425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360.742994965425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412.106761183407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492.861835366996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545.025463622381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637.084952073071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715.881518997856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774.701165420919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14.832</v>
      </c>
      <c r="E41" s="21" t="n">
        <f aca="false">D44</f>
        <v>22.95072</v>
      </c>
      <c r="F41" s="21" t="n">
        <f aca="false">E44</f>
        <v>31.6158912</v>
      </c>
      <c r="G41" s="21" t="n">
        <f aca="false">F44</f>
        <v>40.892775552</v>
      </c>
      <c r="H41" s="21" t="n">
        <f aca="false">G44</f>
        <v>50.85273652992</v>
      </c>
      <c r="I41" s="21" t="n">
        <f aca="false">H44</f>
        <v>61.5738662687232</v>
      </c>
      <c r="J41" s="21" t="n">
        <f aca="false">I44</f>
        <v>73.1416747379743</v>
      </c>
      <c r="K41" s="21" t="n">
        <f aca="false">J44</f>
        <v>85.6498471804553</v>
      </c>
      <c r="L41" s="21" t="n">
        <f aca="false">K44</f>
        <v>99.2010766684371</v>
      </c>
      <c r="M41" s="21" t="n">
        <f aca="false">L44</f>
        <v>113.90797931442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0.288</v>
      </c>
      <c r="D43" s="21" t="n">
        <f aca="false">D41*$B$7</f>
        <v>0.59328</v>
      </c>
      <c r="E43" s="21" t="n">
        <f aca="false">E41*$B$7</f>
        <v>0.9180288</v>
      </c>
      <c r="F43" s="21" t="n">
        <f aca="false">F41*$B$7</f>
        <v>1.264635648</v>
      </c>
      <c r="G43" s="21" t="n">
        <f aca="false">G41*$B$7</f>
        <v>1.63571102208</v>
      </c>
      <c r="H43" s="21" t="n">
        <f aca="false">H41*$B$7</f>
        <v>2.0341094611968</v>
      </c>
      <c r="I43" s="21" t="n">
        <f aca="false">I41*$B$7</f>
        <v>2.46295465074893</v>
      </c>
      <c r="J43" s="21" t="n">
        <f aca="false">J41*$B$7</f>
        <v>2.92566698951897</v>
      </c>
      <c r="K43" s="21" t="n">
        <f aca="false">K41*$B$7</f>
        <v>3.42599388721821</v>
      </c>
      <c r="L43" s="21" t="n">
        <f aca="false">L41*$B$7</f>
        <v>3.96804306673749</v>
      </c>
      <c r="M43" s="21" t="n">
        <f aca="false">M41*$B$7</f>
        <v>4.55631917257679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14.832</v>
      </c>
      <c r="D44" s="22" t="n">
        <f aca="false">D41+D42-D43</f>
        <v>22.95072</v>
      </c>
      <c r="E44" s="22" t="n">
        <f aca="false">E41+E42-E43</f>
        <v>31.6158912</v>
      </c>
      <c r="F44" s="22" t="n">
        <f aca="false">F41+F42-F43</f>
        <v>40.892775552</v>
      </c>
      <c r="G44" s="22" t="n">
        <f aca="false">G41+G42-G43</f>
        <v>50.85273652992</v>
      </c>
      <c r="H44" s="22" t="n">
        <f aca="false">H41+H42-H43</f>
        <v>61.5738662687232</v>
      </c>
      <c r="I44" s="22" t="n">
        <f aca="false">I41+I42-I43</f>
        <v>73.1416747379743</v>
      </c>
      <c r="J44" s="22" t="n">
        <f aca="false">J41+J42-J43</f>
        <v>85.6498471804553</v>
      </c>
      <c r="K44" s="22" t="n">
        <f aca="false">K41+K42-K43</f>
        <v>99.2010766684371</v>
      </c>
      <c r="L44" s="22" t="n">
        <f aca="false">L41+L42-L43</f>
        <v>113.90797931442</v>
      </c>
      <c r="M44" s="22" t="n">
        <f aca="false">M41+M42-M43</f>
        <v>129.894100425835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11.016</v>
      </c>
      <c r="D45" s="21" t="n">
        <f aca="false">(D41+D44)/2</f>
        <v>18.89136</v>
      </c>
      <c r="E45" s="21" t="n">
        <f aca="false">(E41+E44)/2</f>
        <v>27.2833056</v>
      </c>
      <c r="F45" s="21" t="n">
        <f aca="false">(F41+F44)/2</f>
        <v>36.254333376</v>
      </c>
      <c r="G45" s="21" t="n">
        <f aca="false">(G41+G44)/2</f>
        <v>45.87275604096</v>
      </c>
      <c r="H45" s="21" t="n">
        <f aca="false">(H41+H44)/2</f>
        <v>56.2133013993216</v>
      </c>
      <c r="I45" s="21" t="n">
        <f aca="false">(I41+I44)/2</f>
        <v>67.3577705033488</v>
      </c>
      <c r="J45" s="21" t="n">
        <f aca="false">(J41+J44)/2</f>
        <v>79.3957609592148</v>
      </c>
      <c r="K45" s="21" t="n">
        <f aca="false">(K41+K44)/2</f>
        <v>92.4254619244462</v>
      </c>
      <c r="L45" s="21" t="n">
        <f aca="false">(L41+L44)/2</f>
        <v>106.554527991428</v>
      </c>
      <c r="M45" s="21" t="n">
        <f aca="false">(M41+M44)/2</f>
        <v>121.901039870127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99.144</v>
      </c>
      <c r="D46" s="22" t="n">
        <f aca="false">D45*$B$18</f>
        <v>170.02224</v>
      </c>
      <c r="E46" s="22" t="n">
        <f aca="false">E45*$B$18</f>
        <v>245.5497504</v>
      </c>
      <c r="F46" s="22" t="n">
        <f aca="false">F45*$B$18</f>
        <v>326.289000384</v>
      </c>
      <c r="G46" s="22" t="n">
        <f aca="false">G45*$B$18</f>
        <v>412.85480436864</v>
      </c>
      <c r="H46" s="22" t="n">
        <f aca="false">H45*$B$18</f>
        <v>505.919712593895</v>
      </c>
      <c r="I46" s="22" t="n">
        <f aca="false">I45*$B$18</f>
        <v>606.219934530139</v>
      </c>
      <c r="J46" s="22" t="n">
        <f aca="false">J45*$B$18</f>
        <v>714.561848632933</v>
      </c>
      <c r="K46" s="22" t="n">
        <f aca="false">K45*$B$18</f>
        <v>831.829157320016</v>
      </c>
      <c r="L46" s="22" t="n">
        <f aca="false">L45*$B$18</f>
        <v>958.990751922856</v>
      </c>
      <c r="M46" s="22" t="n">
        <f aca="false">M45*$B$18</f>
        <v>1097.10935883115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96422.4</v>
      </c>
      <c r="C47" s="21" t="n">
        <f aca="false">(C45*$D$18)*DAY(EOMONTH(C$25,0))*1440/$E$18*$B$12</f>
        <v>285534.72</v>
      </c>
      <c r="D47" s="21" t="n">
        <f aca="false">(D45*$D$18)*DAY(EOMONTH(D$25,0))*1440/$E$18*$B$12</f>
        <v>505986.18624</v>
      </c>
      <c r="E47" s="21" t="n">
        <f aca="false">(E45*$D$18)*DAY(EOMONTH(E$25,0))*1440/$E$18*$B$12</f>
        <v>730756.0571904</v>
      </c>
      <c r="F47" s="21" t="n">
        <f aca="false">(F45*$D$18)*DAY(EOMONTH(F$25,0))*1440/$E$18*$B$12</f>
        <v>877064.833032192</v>
      </c>
      <c r="G47" s="21" t="n">
        <f aca="false">(G45*$D$18)*DAY(EOMONTH(G$25,0))*1440/$E$18*$B$12</f>
        <v>1228655.89780107</v>
      </c>
      <c r="H47" s="21" t="n">
        <f aca="false">(H45*$D$18)*DAY(EOMONTH(H$25,0))*1440/$E$18*$B$12</f>
        <v>1457048.77227042</v>
      </c>
      <c r="I47" s="21" t="n">
        <f aca="false">(I45*$D$18)*DAY(EOMONTH(I$25,0))*1440/$E$18*$B$12</f>
        <v>1804110.52516169</v>
      </c>
      <c r="J47" s="21" t="n">
        <f aca="false">(J45*$D$18)*DAY(EOMONTH(J$25,0))*1440/$E$18*$B$12</f>
        <v>2057938.12406285</v>
      </c>
      <c r="K47" s="21" t="n">
        <f aca="false">(K45*$D$18)*DAY(EOMONTH(K$25,0))*1440/$E$18*$B$12</f>
        <v>2475523.57218437</v>
      </c>
      <c r="L47" s="21" t="n">
        <f aca="false">(L45*$D$18)*DAY(EOMONTH(L$25,0))*1440/$E$18*$B$12</f>
        <v>2853956.47772242</v>
      </c>
      <c r="M47" s="21" t="n">
        <f aca="false">(M45*$D$18)*DAY(EOMONTH(M$25,0))*1440/$E$18*$B$12</f>
        <v>3159674.9534337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7.776</v>
      </c>
      <c r="C48" s="22" t="n">
        <f aca="false">(C45*$D$18)*Inputs!$B$8*$B$13*Inputs!$B$9*$F$18</f>
        <v>23.79456</v>
      </c>
      <c r="D48" s="22" t="n">
        <f aca="false">(D45*$D$18)*Inputs!$B$8*$B$13*Inputs!$B$9*$F$18</f>
        <v>40.8053376</v>
      </c>
      <c r="E48" s="22" t="n">
        <f aca="false">(E45*$D$18)*Inputs!$B$8*$B$13*Inputs!$B$9*$F$18</f>
        <v>58.931940096</v>
      </c>
      <c r="F48" s="22" t="n">
        <f aca="false">(F45*$D$18)*Inputs!$B$8*$B$13*Inputs!$B$9*$F$18</f>
        <v>78.30936009216</v>
      </c>
      <c r="G48" s="22" t="n">
        <f aca="false">(G45*$D$18)*Inputs!$B$8*$B$13*Inputs!$B$9*$F$18</f>
        <v>99.0851530484736</v>
      </c>
      <c r="H48" s="22" t="n">
        <f aca="false">(H45*$D$18)*Inputs!$B$8*$B$13*Inputs!$B$9*$F$18</f>
        <v>121.420731022535</v>
      </c>
      <c r="I48" s="22" t="n">
        <f aca="false">(I45*$D$18)*Inputs!$B$8*$B$13*Inputs!$B$9*$F$18</f>
        <v>145.492784287233</v>
      </c>
      <c r="J48" s="22" t="n">
        <f aca="false">(J45*$D$18)*Inputs!$B$8*$B$13*Inputs!$B$9*$F$18</f>
        <v>171.494843671904</v>
      </c>
      <c r="K48" s="22" t="n">
        <f aca="false">(K45*$D$18)*Inputs!$B$8*$B$13*Inputs!$B$9*$F$18</f>
        <v>199.638997756804</v>
      </c>
      <c r="L48" s="22" t="n">
        <f aca="false">(L45*$D$18)*Inputs!$B$8*$B$13*Inputs!$B$9*$F$18</f>
        <v>230.157780461485</v>
      </c>
      <c r="M48" s="22" t="n">
        <f aca="false">(M45*$D$18)*Inputs!$B$8*$B$13*Inputs!$B$9*$F$18</f>
        <v>263.306246119475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21.70476288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62.6385443328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109.448313689088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157.608583619604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193.121153541908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264.303637479157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315.403229768783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387.63462814734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445.080894124729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531.547472274912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612.667666956212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682.876438471366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7.416</v>
      </c>
      <c r="E51" s="21" t="n">
        <f aca="false">D54</f>
        <v>11.47536</v>
      </c>
      <c r="F51" s="21" t="n">
        <f aca="false">E54</f>
        <v>15.8079456</v>
      </c>
      <c r="G51" s="21" t="n">
        <f aca="false">F54</f>
        <v>20.446387776</v>
      </c>
      <c r="H51" s="21" t="n">
        <f aca="false">G54</f>
        <v>25.42636826496</v>
      </c>
      <c r="I51" s="21" t="n">
        <f aca="false">H54</f>
        <v>30.7869331343616</v>
      </c>
      <c r="J51" s="21" t="n">
        <f aca="false">I54</f>
        <v>36.5708373689872</v>
      </c>
      <c r="K51" s="21" t="n">
        <f aca="false">J54</f>
        <v>42.8249235902277</v>
      </c>
      <c r="L51" s="21" t="n">
        <f aca="false">K54</f>
        <v>49.6005383342186</v>
      </c>
      <c r="M51" s="21" t="n">
        <f aca="false">L54</f>
        <v>56.9539896572098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0.144</v>
      </c>
      <c r="D53" s="21" t="n">
        <f aca="false">D51*$B$7</f>
        <v>0.29664</v>
      </c>
      <c r="E53" s="21" t="n">
        <f aca="false">E51*$B$7</f>
        <v>0.4590144</v>
      </c>
      <c r="F53" s="21" t="n">
        <f aca="false">F51*$B$7</f>
        <v>0.632317824</v>
      </c>
      <c r="G53" s="21" t="n">
        <f aca="false">G51*$B$7</f>
        <v>0.81785551104</v>
      </c>
      <c r="H53" s="21" t="n">
        <f aca="false">H51*$B$7</f>
        <v>1.0170547305984</v>
      </c>
      <c r="I53" s="21" t="n">
        <f aca="false">I51*$B$7</f>
        <v>1.23147732537446</v>
      </c>
      <c r="J53" s="21" t="n">
        <f aca="false">J51*$B$7</f>
        <v>1.46283349475949</v>
      </c>
      <c r="K53" s="21" t="n">
        <f aca="false">K51*$B$7</f>
        <v>1.71299694360911</v>
      </c>
      <c r="L53" s="21" t="n">
        <f aca="false">L51*$B$7</f>
        <v>1.98402153336874</v>
      </c>
      <c r="M53" s="21" t="n">
        <f aca="false">M51*$B$7</f>
        <v>2.27815958628839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7.416</v>
      </c>
      <c r="D54" s="22" t="n">
        <f aca="false">D51+D52-D53</f>
        <v>11.47536</v>
      </c>
      <c r="E54" s="22" t="n">
        <f aca="false">E51+E52-E53</f>
        <v>15.8079456</v>
      </c>
      <c r="F54" s="22" t="n">
        <f aca="false">F51+F52-F53</f>
        <v>20.446387776</v>
      </c>
      <c r="G54" s="22" t="n">
        <f aca="false">G51+G52-G53</f>
        <v>25.42636826496</v>
      </c>
      <c r="H54" s="22" t="n">
        <f aca="false">H51+H52-H53</f>
        <v>30.7869331343616</v>
      </c>
      <c r="I54" s="22" t="n">
        <f aca="false">I51+I52-I53</f>
        <v>36.5708373689872</v>
      </c>
      <c r="J54" s="22" t="n">
        <f aca="false">J51+J52-J53</f>
        <v>42.8249235902277</v>
      </c>
      <c r="K54" s="22" t="n">
        <f aca="false">K51+K52-K53</f>
        <v>49.6005383342186</v>
      </c>
      <c r="L54" s="22" t="n">
        <f aca="false">L51+L52-L53</f>
        <v>56.9539896572098</v>
      </c>
      <c r="M54" s="22" t="n">
        <f aca="false">M51+M52-M53</f>
        <v>64.9470502129175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5.508</v>
      </c>
      <c r="D55" s="21" t="n">
        <f aca="false">(D51+D54)/2</f>
        <v>9.44568</v>
      </c>
      <c r="E55" s="21" t="n">
        <f aca="false">(E51+E54)/2</f>
        <v>13.6416528</v>
      </c>
      <c r="F55" s="21" t="n">
        <f aca="false">(F51+F54)/2</f>
        <v>18.127166688</v>
      </c>
      <c r="G55" s="21" t="n">
        <f aca="false">(G51+G54)/2</f>
        <v>22.93637802048</v>
      </c>
      <c r="H55" s="21" t="n">
        <f aca="false">(H51+H54)/2</f>
        <v>28.1066506996608</v>
      </c>
      <c r="I55" s="21" t="n">
        <f aca="false">(I51+I54)/2</f>
        <v>33.6788852516744</v>
      </c>
      <c r="J55" s="21" t="n">
        <f aca="false">(J51+J54)/2</f>
        <v>39.6978804796074</v>
      </c>
      <c r="K55" s="21" t="n">
        <f aca="false">(K51+K54)/2</f>
        <v>46.2127309622231</v>
      </c>
      <c r="L55" s="21" t="n">
        <f aca="false">(L51+L54)/2</f>
        <v>53.2772639957142</v>
      </c>
      <c r="M55" s="21" t="n">
        <f aca="false">(M51+M54)/2</f>
        <v>60.9505199350636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159.732</v>
      </c>
      <c r="D56" s="22" t="n">
        <f aca="false">D55*$B$19</f>
        <v>273.92472</v>
      </c>
      <c r="E56" s="22" t="n">
        <f aca="false">E55*$B$19</f>
        <v>395.6079312</v>
      </c>
      <c r="F56" s="22" t="n">
        <f aca="false">F55*$B$19</f>
        <v>525.687833952</v>
      </c>
      <c r="G56" s="22" t="n">
        <f aca="false">G55*$B$19</f>
        <v>665.15496259392</v>
      </c>
      <c r="H56" s="22" t="n">
        <f aca="false">H55*$B$19</f>
        <v>815.092870290163</v>
      </c>
      <c r="I56" s="22" t="n">
        <f aca="false">I55*$B$19</f>
        <v>976.687672298557</v>
      </c>
      <c r="J56" s="22" t="n">
        <f aca="false">J55*$B$19</f>
        <v>1151.23853390861</v>
      </c>
      <c r="K56" s="22" t="n">
        <f aca="false">K55*$B$19</f>
        <v>1340.16919790447</v>
      </c>
      <c r="L56" s="22" t="n">
        <f aca="false">L55*$B$19</f>
        <v>1545.04065587571</v>
      </c>
      <c r="M56" s="22" t="n">
        <f aca="false">M55*$B$19</f>
        <v>1767.56507811685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160704</v>
      </c>
      <c r="C57" s="21" t="n">
        <f aca="false">(C55*$D$19)*DAY(EOMONTH(C$25,0))*1440/$E$19*$B$12</f>
        <v>475891.2</v>
      </c>
      <c r="D57" s="21" t="n">
        <f aca="false">(D55*$D$19)*DAY(EOMONTH(D$25,0))*1440/$E$19*$B$12</f>
        <v>843310.3104</v>
      </c>
      <c r="E57" s="21" t="n">
        <f aca="false">(E55*$D$19)*DAY(EOMONTH(E$25,0))*1440/$E$19*$B$12</f>
        <v>1217926.761984</v>
      </c>
      <c r="F57" s="21" t="n">
        <f aca="false">(F55*$D$19)*DAY(EOMONTH(F$25,0))*1440/$E$19*$B$12</f>
        <v>1461774.72172032</v>
      </c>
      <c r="G57" s="21" t="n">
        <f aca="false">(G55*$D$19)*DAY(EOMONTH(G$25,0))*1440/$E$19*$B$12</f>
        <v>2047759.82966845</v>
      </c>
      <c r="H57" s="21" t="n">
        <f aca="false">(H55*$D$19)*DAY(EOMONTH(H$25,0))*1440/$E$19*$B$12</f>
        <v>2428414.62045069</v>
      </c>
      <c r="I57" s="21" t="n">
        <f aca="false">(I55*$D$19)*DAY(EOMONTH(I$25,0))*1440/$E$19*$B$12</f>
        <v>3006850.87526949</v>
      </c>
      <c r="J57" s="21" t="n">
        <f aca="false">(J55*$D$19)*DAY(EOMONTH(J$25,0))*1440/$E$19*$B$12</f>
        <v>3429896.87343808</v>
      </c>
      <c r="K57" s="21" t="n">
        <f aca="false">(K55*$D$19)*DAY(EOMONTH(K$25,0))*1440/$E$19*$B$12</f>
        <v>4125872.62030728</v>
      </c>
      <c r="L57" s="21" t="n">
        <f aca="false">(L55*$D$19)*DAY(EOMONTH(L$25,0))*1440/$E$19*$B$12</f>
        <v>4756594.12953736</v>
      </c>
      <c r="M57" s="21" t="n">
        <f aca="false">(M55*$D$19)*DAY(EOMONTH(M$25,0))*1440/$E$19*$B$12</f>
        <v>5266124.9223895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12.96</v>
      </c>
      <c r="C58" s="22" t="n">
        <f aca="false">(C55*$D$19)*Inputs!$B$8*$B$13*Inputs!$B$9*$F$19</f>
        <v>39.6576</v>
      </c>
      <c r="D58" s="22" t="n">
        <f aca="false">(D55*$D$19)*Inputs!$B$8*$B$13*Inputs!$B$9*$F$19</f>
        <v>68.008896</v>
      </c>
      <c r="E58" s="22" t="n">
        <f aca="false">(E55*$D$19)*Inputs!$B$8*$B$13*Inputs!$B$9*$F$19</f>
        <v>98.21990016</v>
      </c>
      <c r="F58" s="22" t="n">
        <f aca="false">(F55*$D$19)*Inputs!$B$8*$B$13*Inputs!$B$9*$F$19</f>
        <v>130.5156001536</v>
      </c>
      <c r="G58" s="22" t="n">
        <f aca="false">(G55*$D$19)*Inputs!$B$8*$B$13*Inputs!$B$9*$F$19</f>
        <v>165.141921747456</v>
      </c>
      <c r="H58" s="22" t="n">
        <f aca="false">(H55*$D$19)*Inputs!$B$8*$B$13*Inputs!$B$9*$F$19</f>
        <v>202.367885037558</v>
      </c>
      <c r="I58" s="22" t="n">
        <f aca="false">(I55*$D$19)*Inputs!$B$8*$B$13*Inputs!$B$9*$F$19</f>
        <v>242.487973812056</v>
      </c>
      <c r="J58" s="22" t="n">
        <f aca="false">(J55*$D$19)*Inputs!$B$8*$B$13*Inputs!$B$9*$F$19</f>
        <v>285.824739453173</v>
      </c>
      <c r="K58" s="22" t="n">
        <f aca="false">(K55*$D$19)*Inputs!$B$8*$B$13*Inputs!$B$9*$F$19</f>
        <v>332.731662928007</v>
      </c>
      <c r="L58" s="22" t="n">
        <f aca="false">(L55*$D$19)*Inputs!$B$8*$B$13*Inputs!$B$9*$F$19</f>
        <v>383.596300769142</v>
      </c>
      <c r="M58" s="22" t="n">
        <f aca="false">(M55*$D$19)*Inputs!$B$8*$B$13*Inputs!$B$9*$F$19</f>
        <v>438.843743532458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31.4898048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92.582085888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163.02109966848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235.209049678541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285.755178656545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395.122787380492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470.318264512459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579.953654757928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664.080726104581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795.613565853667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917.170196001462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1019.36130366133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2.472</v>
      </c>
      <c r="E61" s="21" t="n">
        <f aca="false">D64</f>
        <v>3.82512</v>
      </c>
      <c r="F61" s="21" t="n">
        <f aca="false">E64</f>
        <v>5.2693152</v>
      </c>
      <c r="G61" s="21" t="n">
        <f aca="false">F64</f>
        <v>6.815462592</v>
      </c>
      <c r="H61" s="21" t="n">
        <f aca="false">G64</f>
        <v>8.47545608832</v>
      </c>
      <c r="I61" s="21" t="n">
        <f aca="false">H64</f>
        <v>10.2623110447872</v>
      </c>
      <c r="J61" s="21" t="n">
        <f aca="false">I64</f>
        <v>12.1902791229957</v>
      </c>
      <c r="K61" s="21" t="n">
        <f aca="false">J64</f>
        <v>14.2749745300759</v>
      </c>
      <c r="L61" s="21" t="n">
        <f aca="false">K64</f>
        <v>16.5335127780729</v>
      </c>
      <c r="M61" s="21" t="n">
        <f aca="false">L64</f>
        <v>18.9846632190699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0.048</v>
      </c>
      <c r="D63" s="21" t="n">
        <f aca="false">D61*$B$7</f>
        <v>0.09888</v>
      </c>
      <c r="E63" s="21" t="n">
        <f aca="false">E61*$B$7</f>
        <v>0.1530048</v>
      </c>
      <c r="F63" s="21" t="n">
        <f aca="false">F61*$B$7</f>
        <v>0.210772608</v>
      </c>
      <c r="G63" s="21" t="n">
        <f aca="false">G61*$B$7</f>
        <v>0.27261850368</v>
      </c>
      <c r="H63" s="21" t="n">
        <f aca="false">H61*$B$7</f>
        <v>0.3390182435328</v>
      </c>
      <c r="I63" s="21" t="n">
        <f aca="false">I61*$B$7</f>
        <v>0.410492441791488</v>
      </c>
      <c r="J63" s="21" t="n">
        <f aca="false">J61*$B$7</f>
        <v>0.487611164919829</v>
      </c>
      <c r="K63" s="21" t="n">
        <f aca="false">K61*$B$7</f>
        <v>0.570998981203036</v>
      </c>
      <c r="L63" s="21" t="n">
        <f aca="false">L61*$B$7</f>
        <v>0.661340511122914</v>
      </c>
      <c r="M63" s="21" t="n">
        <f aca="false">M61*$B$7</f>
        <v>0.759386528762798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2.472</v>
      </c>
      <c r="D64" s="22" t="n">
        <f aca="false">D61+D62-D63</f>
        <v>3.82512</v>
      </c>
      <c r="E64" s="22" t="n">
        <f aca="false">E61+E62-E63</f>
        <v>5.2693152</v>
      </c>
      <c r="F64" s="22" t="n">
        <f aca="false">F61+F62-F63</f>
        <v>6.815462592</v>
      </c>
      <c r="G64" s="22" t="n">
        <f aca="false">G61+G62-G63</f>
        <v>8.47545608832</v>
      </c>
      <c r="H64" s="22" t="n">
        <f aca="false">H61+H62-H63</f>
        <v>10.2623110447872</v>
      </c>
      <c r="I64" s="22" t="n">
        <f aca="false">I61+I62-I63</f>
        <v>12.1902791229957</v>
      </c>
      <c r="J64" s="22" t="n">
        <f aca="false">J61+J62-J63</f>
        <v>14.2749745300759</v>
      </c>
      <c r="K64" s="22" t="n">
        <f aca="false">K61+K62-K63</f>
        <v>16.5335127780729</v>
      </c>
      <c r="L64" s="22" t="n">
        <f aca="false">L61+L62-L63</f>
        <v>18.9846632190699</v>
      </c>
      <c r="M64" s="22" t="n">
        <f aca="false">M61+M62-M63</f>
        <v>21.6490167376391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1.836</v>
      </c>
      <c r="D65" s="21" t="n">
        <f aca="false">(D61+D64)/2</f>
        <v>3.14856</v>
      </c>
      <c r="E65" s="21" t="n">
        <f aca="false">(E61+E64)/2</f>
        <v>4.5472176</v>
      </c>
      <c r="F65" s="21" t="n">
        <f aca="false">(F61+F64)/2</f>
        <v>6.042388896</v>
      </c>
      <c r="G65" s="21" t="n">
        <f aca="false">(G61+G64)/2</f>
        <v>7.64545934016</v>
      </c>
      <c r="H65" s="21" t="n">
        <f aca="false">(H61+H64)/2</f>
        <v>9.3688835665536</v>
      </c>
      <c r="I65" s="21" t="n">
        <f aca="false">(I61+I64)/2</f>
        <v>11.2262950838915</v>
      </c>
      <c r="J65" s="21" t="n">
        <f aca="false">(J61+J64)/2</f>
        <v>13.2326268265358</v>
      </c>
      <c r="K65" s="21" t="n">
        <f aca="false">(K61+K64)/2</f>
        <v>15.4042436540744</v>
      </c>
      <c r="L65" s="21" t="n">
        <f aca="false">(L61+L64)/2</f>
        <v>17.7590879985714</v>
      </c>
      <c r="M65" s="21" t="n">
        <f aca="false">(M61+M64)/2</f>
        <v>20.3168399783545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181.764</v>
      </c>
      <c r="D66" s="22" t="n">
        <f aca="false">D65*$B$20</f>
        <v>311.70744</v>
      </c>
      <c r="E66" s="22" t="n">
        <f aca="false">E65*$B$20</f>
        <v>450.1745424</v>
      </c>
      <c r="F66" s="22" t="n">
        <f aca="false">F65*$B$20</f>
        <v>598.196500704</v>
      </c>
      <c r="G66" s="22" t="n">
        <f aca="false">G65*$B$20</f>
        <v>756.90047467584</v>
      </c>
      <c r="H66" s="22" t="n">
        <f aca="false">H65*$B$20</f>
        <v>927.519473088807</v>
      </c>
      <c r="I66" s="22" t="n">
        <f aca="false">I65*$B$20</f>
        <v>1111.40321330525</v>
      </c>
      <c r="J66" s="22" t="n">
        <f aca="false">J65*$B$20</f>
        <v>1310.03005582704</v>
      </c>
      <c r="K66" s="22" t="n">
        <f aca="false">K65*$B$20</f>
        <v>1525.02012175336</v>
      </c>
      <c r="L66" s="22" t="n">
        <f aca="false">L65*$B$20</f>
        <v>1758.14971185857</v>
      </c>
      <c r="M66" s="22" t="n">
        <f aca="false">M65*$B$20</f>
        <v>2011.3671578571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160704</v>
      </c>
      <c r="C67" s="21" t="n">
        <f aca="false">(C65*$D$20)*DAY(EOMONTH(C$25,0))*1440/$E$20*$B$12</f>
        <v>475891.2</v>
      </c>
      <c r="D67" s="21" t="n">
        <f aca="false">(D65*$D$20)*DAY(EOMONTH(D$25,0))*1440/$E$20*$B$12</f>
        <v>843310.3104</v>
      </c>
      <c r="E67" s="21" t="n">
        <f aca="false">(E65*$D$20)*DAY(EOMONTH(E$25,0))*1440/$E$20*$B$12</f>
        <v>1217926.761984</v>
      </c>
      <c r="F67" s="21" t="n">
        <f aca="false">(F65*$D$20)*DAY(EOMONTH(F$25,0))*1440/$E$20*$B$12</f>
        <v>1461774.72172032</v>
      </c>
      <c r="G67" s="21" t="n">
        <f aca="false">(G65*$D$20)*DAY(EOMONTH(G$25,0))*1440/$E$20*$B$12</f>
        <v>2047759.82966846</v>
      </c>
      <c r="H67" s="21" t="n">
        <f aca="false">(H65*$D$20)*DAY(EOMONTH(H$25,0))*1440/$E$20*$B$12</f>
        <v>2428414.62045069</v>
      </c>
      <c r="I67" s="21" t="n">
        <f aca="false">(I65*$D$20)*DAY(EOMONTH(I$25,0))*1440/$E$20*$B$12</f>
        <v>3006850.87526949</v>
      </c>
      <c r="J67" s="21" t="n">
        <f aca="false">(J65*$D$20)*DAY(EOMONTH(J$25,0))*1440/$E$20*$B$12</f>
        <v>3429896.87343808</v>
      </c>
      <c r="K67" s="21" t="n">
        <f aca="false">(K65*$D$20)*DAY(EOMONTH(K$25,0))*1440/$E$20*$B$12</f>
        <v>4125872.62030728</v>
      </c>
      <c r="L67" s="21" t="n">
        <f aca="false">(L65*$D$20)*DAY(EOMONTH(L$25,0))*1440/$E$20*$B$12</f>
        <v>4756594.12953736</v>
      </c>
      <c r="M67" s="21" t="n">
        <f aca="false">(M65*$D$20)*DAY(EOMONTH(M$25,0))*1440/$E$20*$B$12</f>
        <v>5266124.9223895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12.96</v>
      </c>
      <c r="C68" s="22" t="n">
        <f aca="false">(C65*$D$20)*Inputs!$B$8*$B$13*Inputs!$B$9*$F$20</f>
        <v>39.6576</v>
      </c>
      <c r="D68" s="22" t="n">
        <f aca="false">(D65*$D$20)*Inputs!$B$8*$B$13*Inputs!$B$9*$F$20</f>
        <v>68.008896</v>
      </c>
      <c r="E68" s="22" t="n">
        <f aca="false">(E65*$D$20)*Inputs!$B$8*$B$13*Inputs!$B$9*$F$20</f>
        <v>98.2199001600001</v>
      </c>
      <c r="F68" s="22" t="n">
        <f aca="false">(F65*$D$20)*Inputs!$B$8*$B$13*Inputs!$B$9*$F$20</f>
        <v>130.5156001536</v>
      </c>
      <c r="G68" s="22" t="n">
        <f aca="false">(G65*$D$20)*Inputs!$B$8*$B$13*Inputs!$B$9*$F$20</f>
        <v>165.141921747456</v>
      </c>
      <c r="H68" s="22" t="n">
        <f aca="false">(H65*$D$20)*Inputs!$B$8*$B$13*Inputs!$B$9*$F$20</f>
        <v>202.367885037558</v>
      </c>
      <c r="I68" s="22" t="n">
        <f aca="false">(I65*$D$20)*Inputs!$B$8*$B$13*Inputs!$B$9*$F$20</f>
        <v>242.487973812056</v>
      </c>
      <c r="J68" s="22" t="n">
        <f aca="false">(J65*$D$20)*Inputs!$B$8*$B$13*Inputs!$B$9*$F$20</f>
        <v>285.824739453173</v>
      </c>
      <c r="K68" s="22" t="n">
        <f aca="false">(K65*$D$20)*Inputs!$B$8*$B$13*Inputs!$B$9*$F$20</f>
        <v>332.731662928006</v>
      </c>
      <c r="L68" s="22" t="n">
        <f aca="false">(L65*$D$20)*Inputs!$B$8*$B$13*Inputs!$B$9*$F$20</f>
        <v>383.596300769142</v>
      </c>
      <c r="M68" s="22" t="n">
        <f aca="false">(M65*$D$20)*Inputs!$B$8*$B$13*Inputs!$B$9*$F$20</f>
        <v>438.843743532458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30.4290048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90.056037888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158.93764558848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229.464640961741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278.233824208417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385.694892822289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458.839352019785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566.26295167648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647.999609349064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776.943847791309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895.692236086831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994.831928511043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24.72</v>
      </c>
      <c r="D73" s="25" t="n">
        <f aca="false">D44+D54+D64</f>
        <v>38.2512</v>
      </c>
      <c r="E73" s="25" t="n">
        <f aca="false">E44+E54+E64</f>
        <v>52.693152</v>
      </c>
      <c r="F73" s="25" t="n">
        <f aca="false">F44+F54+F64</f>
        <v>68.15462592</v>
      </c>
      <c r="G73" s="25" t="n">
        <f aca="false">G44+G54+G64</f>
        <v>84.7545608832</v>
      </c>
      <c r="H73" s="25" t="n">
        <f aca="false">H44+H54+H64</f>
        <v>102.623110447872</v>
      </c>
      <c r="I73" s="25" t="n">
        <f aca="false">I44+I54+I64</f>
        <v>121.902791229957</v>
      </c>
      <c r="J73" s="25" t="n">
        <f aca="false">J44+J54+J64</f>
        <v>142.749745300759</v>
      </c>
      <c r="K73" s="25" t="n">
        <f aca="false">K44+K54+K64</f>
        <v>165.335127780729</v>
      </c>
      <c r="L73" s="25" t="n">
        <f aca="false">L44+L54+L64</f>
        <v>189.846632190699</v>
      </c>
      <c r="M73" s="25" t="n">
        <f aca="false">M44+M54+M64</f>
        <v>216.490167376392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18.36</v>
      </c>
      <c r="D74" s="26" t="n">
        <f aca="false">D45+D55+D65</f>
        <v>31.4856</v>
      </c>
      <c r="E74" s="26" t="n">
        <f aca="false">E45+E55+E65</f>
        <v>45.472176</v>
      </c>
      <c r="F74" s="26" t="n">
        <f aca="false">F45+F55+F65</f>
        <v>60.42388896</v>
      </c>
      <c r="G74" s="26" t="n">
        <f aca="false">G45+G55+G65</f>
        <v>76.4545934016</v>
      </c>
      <c r="H74" s="26" t="n">
        <f aca="false">H45+H55+H65</f>
        <v>93.688835665536</v>
      </c>
      <c r="I74" s="26" t="n">
        <f aca="false">I45+I55+I65</f>
        <v>112.262950838915</v>
      </c>
      <c r="J74" s="26" t="n">
        <f aca="false">J45+J55+J65</f>
        <v>132.326268265358</v>
      </c>
      <c r="K74" s="26" t="n">
        <f aca="false">K45+K55+K65</f>
        <v>154.042436540744</v>
      </c>
      <c r="L74" s="26" t="n">
        <f aca="false">L45+L55+L65</f>
        <v>177.590879985714</v>
      </c>
      <c r="M74" s="26" t="n">
        <f aca="false">M45+M55+M65</f>
        <v>203.168399783545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593.28</v>
      </c>
      <c r="D76" s="28" t="n">
        <f aca="false">D44*$B$18+D54*$B$19+D64*$B$20</f>
        <v>918.0288</v>
      </c>
      <c r="E76" s="28" t="n">
        <f aca="false">E44*$B$18+E54*$B$19+E64*$B$20</f>
        <v>1264.635648</v>
      </c>
      <c r="F76" s="28" t="n">
        <f aca="false">F44*$B$18+F54*$B$19+F64*$B$20</f>
        <v>1635.71102208</v>
      </c>
      <c r="G76" s="28" t="n">
        <f aca="false">G44*$B$18+G54*$B$19+G64*$B$20</f>
        <v>2034.1094611968</v>
      </c>
      <c r="H76" s="28" t="n">
        <f aca="false">H44*$B$18+H54*$B$19+H64*$B$20</f>
        <v>2462.95465074893</v>
      </c>
      <c r="I76" s="28" t="n">
        <f aca="false">I44*$B$18+I54*$B$19+I64*$B$20</f>
        <v>2925.66698951897</v>
      </c>
      <c r="J76" s="28" t="n">
        <f aca="false">J44*$B$18+J54*$B$19+J64*$B$20</f>
        <v>3425.99388721821</v>
      </c>
      <c r="K76" s="28" t="n">
        <f aca="false">K44*$B$18+K54*$B$19+K64*$B$20</f>
        <v>3968.04306673749</v>
      </c>
      <c r="L76" s="28" t="n">
        <f aca="false">L44*$B$18+L54*$B$19+L64*$B$20</f>
        <v>4556.31917257679</v>
      </c>
      <c r="M76" s="28" t="n">
        <f aca="false">M44*$B$18+M54*$B$19+M64*$B$20</f>
        <v>5195.7640170334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440.64</v>
      </c>
      <c r="D77" s="28" t="n">
        <f aca="false">D36+D46+D56+D66</f>
        <v>755.6544</v>
      </c>
      <c r="E77" s="28" t="n">
        <f aca="false">E36+E46+E56+E66</f>
        <v>1091.332224</v>
      </c>
      <c r="F77" s="28" t="n">
        <f aca="false">F36+F46+F56+F66</f>
        <v>1450.17333504</v>
      </c>
      <c r="G77" s="28" t="n">
        <f aca="false">G36+G46+G56+G66</f>
        <v>1834.9102416384</v>
      </c>
      <c r="H77" s="28" t="n">
        <f aca="false">H36+H46+H56+H66</f>
        <v>2248.53205597286</v>
      </c>
      <c r="I77" s="28" t="n">
        <f aca="false">I36+I46+I56+I66</f>
        <v>2694.31082013395</v>
      </c>
      <c r="J77" s="28" t="n">
        <f aca="false">J36+J46+J56+J66</f>
        <v>3175.83043836859</v>
      </c>
      <c r="K77" s="28" t="n">
        <f aca="false">K36+K46+K56+K66</f>
        <v>3697.01847697785</v>
      </c>
      <c r="L77" s="28" t="n">
        <f aca="false">L36+L46+L56+L66</f>
        <v>4262.18111965714</v>
      </c>
      <c r="M77" s="28" t="n">
        <f aca="false">M36+M46+M56+M66</f>
        <v>4876.04159480509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623174.4</v>
      </c>
      <c r="C78" s="26" t="n">
        <f aca="false">C37+C47+C57+C67</f>
        <v>1823541.12</v>
      </c>
      <c r="D78" s="26" t="n">
        <f aca="false">D37+D47+D57+D67</f>
        <v>3181851.52704</v>
      </c>
      <c r="E78" s="26" t="n">
        <f aca="false">E37+E47+E57+E67</f>
        <v>4529246.6971584</v>
      </c>
      <c r="F78" s="26" t="n">
        <f aca="false">F37+F47+F57+F67</f>
        <v>5365180.72047283</v>
      </c>
      <c r="G78" s="26" t="n">
        <f aca="false">G37+G47+G57+G67</f>
        <v>7427897.05152798</v>
      </c>
      <c r="H78" s="26" t="n">
        <f aca="false">H37+H47+H57+H67</f>
        <v>8716443.7463868</v>
      </c>
      <c r="I78" s="26" t="n">
        <f aca="false">I37+I47+I57+I67</f>
        <v>10692002.6308742</v>
      </c>
      <c r="J78" s="26" t="n">
        <f aca="false">J37+J47+J57+J67</f>
        <v>12095208.2580492</v>
      </c>
      <c r="K78" s="26" t="n">
        <f aca="false">K37+K47+K57+K67</f>
        <v>14442515.7507388</v>
      </c>
      <c r="L78" s="26" t="n">
        <f aca="false">L37+L47+L57+L67</f>
        <v>16541904.4964335</v>
      </c>
      <c r="M78" s="26" t="n">
        <f aca="false">M37+M47+M57+M67</f>
        <v>18208401.228197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33.696</v>
      </c>
      <c r="C79" s="27" t="n">
        <f aca="false">C38+C48+C58+C68</f>
        <v>103.10976</v>
      </c>
      <c r="D79" s="27" t="n">
        <f aca="false">D38+D48+D58+D68</f>
        <v>176.8231296</v>
      </c>
      <c r="E79" s="27" t="n">
        <f aca="false">E38+E48+E58+E68</f>
        <v>255.371740416</v>
      </c>
      <c r="F79" s="27" t="n">
        <f aca="false">F38+F48+F58+F68</f>
        <v>339.34056039936</v>
      </c>
      <c r="G79" s="27" t="n">
        <f aca="false">G38+G48+G58+G68</f>
        <v>429.368996543386</v>
      </c>
      <c r="H79" s="27" t="n">
        <f aca="false">H38+H48+H58+H68</f>
        <v>526.15650109765</v>
      </c>
      <c r="I79" s="27" t="n">
        <f aca="false">I38+I48+I58+I68</f>
        <v>630.468731911344</v>
      </c>
      <c r="J79" s="27" t="n">
        <f aca="false">J38+J48+J58+J68</f>
        <v>743.144322578251</v>
      </c>
      <c r="K79" s="27" t="n">
        <f aca="false">K38+K48+K58+K68</f>
        <v>865.102323612817</v>
      </c>
      <c r="L79" s="27" t="n">
        <f aca="false">L38+L48+L58+L68</f>
        <v>997.35038199977</v>
      </c>
      <c r="M79" s="27" t="n">
        <f aca="false">M38+M48+M58+M68</f>
        <v>1140.99373318439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118.83565248</v>
      </c>
      <c r="C80" s="29" t="n">
        <f aca="false">C39+C49+C59+C69</f>
        <v>345.8303681088</v>
      </c>
      <c r="D80" s="29" t="n">
        <f aca="false">D39+D49+D59+D69</f>
        <v>601.041254346048</v>
      </c>
      <c r="E80" s="29" t="n">
        <f aca="false">E39+E49+E59+E69</f>
        <v>855.945235629886</v>
      </c>
      <c r="F80" s="29" t="n">
        <f aca="false">F39+F49+F59+F69</f>
        <v>1025.64749814937</v>
      </c>
      <c r="G80" s="29" t="n">
        <f aca="false">G39+G49+G59+G69</f>
        <v>1405.86431264736</v>
      </c>
      <c r="H80" s="29" t="n">
        <f aca="false">H39+H49+H59+H69</f>
        <v>1656.66760748443</v>
      </c>
      <c r="I80" s="29" t="n">
        <f aca="false">I39+I49+I59+I69</f>
        <v>2026.71306994874</v>
      </c>
      <c r="J80" s="29" t="n">
        <f aca="false">J39+J49+J59+J69</f>
        <v>2302.18669320076</v>
      </c>
      <c r="K80" s="29" t="n">
        <f aca="false">K39+K49+K59+K69</f>
        <v>2741.18983799296</v>
      </c>
      <c r="L80" s="29" t="n">
        <f aca="false">L39+L49+L59+L69</f>
        <v>3141.41161804236</v>
      </c>
      <c r="M80" s="29" t="n">
        <f aca="false">M39+M49+M59+M69</f>
        <v>3471.77083606466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218.83565248</v>
      </c>
      <c r="C83" s="28" t="n">
        <f aca="false">C80+C81+C82</f>
        <v>445.8303681088</v>
      </c>
      <c r="D83" s="28" t="n">
        <f aca="false">D80+D81+D82</f>
        <v>801.041254346048</v>
      </c>
      <c r="E83" s="28" t="n">
        <f aca="false">E80+E81+E82</f>
        <v>1055.94523562989</v>
      </c>
      <c r="F83" s="28" t="n">
        <f aca="false">F80+F81+F82</f>
        <v>1325.64749814937</v>
      </c>
      <c r="G83" s="28" t="n">
        <f aca="false">G80+G81+G82</f>
        <v>1705.86431264736</v>
      </c>
      <c r="H83" s="28" t="n">
        <f aca="false">H80+H81+H82</f>
        <v>2056.66760748443</v>
      </c>
      <c r="I83" s="28" t="n">
        <f aca="false">I80+I81+I82</f>
        <v>2426.71306994874</v>
      </c>
      <c r="J83" s="28" t="n">
        <f aca="false">J80+J81+J82</f>
        <v>2802.18669320076</v>
      </c>
      <c r="K83" s="28" t="n">
        <f aca="false">K80+K81+K82</f>
        <v>3241.18983799296</v>
      </c>
      <c r="L83" s="28" t="n">
        <f aca="false">L80+L81+L82</f>
        <v>3741.41161804236</v>
      </c>
      <c r="M83" s="28" t="n">
        <f aca="false">M80+M81+M82</f>
        <v>4171.77083606466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-74.83565248</v>
      </c>
      <c r="C84" s="28" t="n">
        <f aca="false">C77-C83</f>
        <v>-5.1903681088001</v>
      </c>
      <c r="D84" s="28" t="n">
        <f aca="false">D77-D83</f>
        <v>-45.386854346048</v>
      </c>
      <c r="E84" s="28" t="n">
        <f aca="false">E77-E83</f>
        <v>35.3869883701138</v>
      </c>
      <c r="F84" s="28" t="n">
        <f aca="false">F77-F83</f>
        <v>124.525836890631</v>
      </c>
      <c r="G84" s="28" t="n">
        <f aca="false">G77-G83</f>
        <v>129.045928991037</v>
      </c>
      <c r="H84" s="28" t="n">
        <f aca="false">H77-H83</f>
        <v>191.864448488431</v>
      </c>
      <c r="I84" s="28" t="n">
        <f aca="false">I77-I83</f>
        <v>267.597750185207</v>
      </c>
      <c r="J84" s="28" t="n">
        <f aca="false">J77-J83</f>
        <v>373.643745167838</v>
      </c>
      <c r="K84" s="28" t="n">
        <f aca="false">K77-K83</f>
        <v>455.828638984892</v>
      </c>
      <c r="L84" s="28" t="n">
        <f aca="false">L77-L83</f>
        <v>520.769501614775</v>
      </c>
      <c r="M84" s="28" t="n">
        <f aca="false">M77-M83</f>
        <v>704.270758740431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-0.519692031111111</v>
      </c>
      <c r="C85" s="31" t="n">
        <f aca="false">IFERROR(C84/C77,0)</f>
        <v>-0.0117791578358753</v>
      </c>
      <c r="D85" s="31" t="n">
        <f aca="false">IFERROR(D84/D77,0)</f>
        <v>-0.0600629789835777</v>
      </c>
      <c r="E85" s="31" t="n">
        <f aca="false">IFERROR(E84/E77,0)</f>
        <v>0.0324254957307243</v>
      </c>
      <c r="F85" s="31" t="n">
        <f aca="false">IFERROR(F84/F77,0)</f>
        <v>0.0858696225352922</v>
      </c>
      <c r="G85" s="31" t="n">
        <f aca="false">IFERROR(G84/G77,0)</f>
        <v>0.0703281970216762</v>
      </c>
      <c r="H85" s="31" t="n">
        <f aca="false">IFERROR(H84/H77,0)</f>
        <v>0.0853287583687207</v>
      </c>
      <c r="I85" s="31" t="n">
        <f aca="false">IFERROR(I84/I77,0)</f>
        <v>0.0993195544424616</v>
      </c>
      <c r="J85" s="31" t="n">
        <f aca="false">IFERROR(J84/J77,0)</f>
        <v>0.117652296751642</v>
      </c>
      <c r="K85" s="31" t="n">
        <f aca="false">IFERROR(K84/K77,0)</f>
        <v>0.12329628370089</v>
      </c>
      <c r="L85" s="31" t="n">
        <f aca="false">IFERROR(L84/L77,0)</f>
        <v>0.122183803783699</v>
      </c>
      <c r="M85" s="31" t="n">
        <f aca="false">IFERROR(M84/M77,0)</f>
        <v>0.144434936627849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5678.9226288</v>
      </c>
      <c r="K91" s="28" t="n">
        <f aca="false">K86+K87+K88+K89+K90</f>
        <v>5781.81489168</v>
      </c>
      <c r="L91" s="28" t="n">
        <f aca="false">L86+L87+L88+L89+L90</f>
        <v>5894.996380848</v>
      </c>
      <c r="M91" s="28" t="n">
        <f aca="false">M86+M87+M88+M89+M90</f>
        <v>6019.4960189328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-704.83565248</v>
      </c>
      <c r="C92" s="28" t="n">
        <f aca="false">C84-C91</f>
        <v>-683.1903681088</v>
      </c>
      <c r="D92" s="28" t="n">
        <f aca="false">D84-D91</f>
        <v>-776.186854346048</v>
      </c>
      <c r="E92" s="28" t="n">
        <f aca="false">E84-E91</f>
        <v>-2253.49301162989</v>
      </c>
      <c r="F92" s="28" t="n">
        <f aca="false">F84-F91</f>
        <v>-2228.24216310937</v>
      </c>
      <c r="G92" s="28" t="n">
        <f aca="false">G84-G91</f>
        <v>-2293.99887100896</v>
      </c>
      <c r="H92" s="28" t="n">
        <f aca="false">H84-H91</f>
        <v>-2308.48483151157</v>
      </c>
      <c r="I92" s="28" t="n">
        <f aca="false">I84-I91</f>
        <v>-2317.78645781479</v>
      </c>
      <c r="J92" s="28" t="n">
        <f aca="false">J84-J91</f>
        <v>-5305.27888363216</v>
      </c>
      <c r="K92" s="28" t="n">
        <f aca="false">K84-K91</f>
        <v>-5325.98625269511</v>
      </c>
      <c r="L92" s="28" t="n">
        <f aca="false">L84-L91</f>
        <v>-5374.22687923323</v>
      </c>
      <c r="M92" s="28" t="n">
        <f aca="false">M84-M91</f>
        <v>-5315.22526019237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-704.83565248</v>
      </c>
      <c r="C93" s="30" t="n">
        <f aca="false">B93+C92</f>
        <v>-1388.0260205888</v>
      </c>
      <c r="D93" s="30" t="n">
        <f aca="false">C93+D92</f>
        <v>-2164.21287493485</v>
      </c>
      <c r="E93" s="30" t="n">
        <f aca="false">D93+E92</f>
        <v>-4417.70588656474</v>
      </c>
      <c r="F93" s="30" t="n">
        <f aca="false">E93+F92</f>
        <v>-6645.9480496741</v>
      </c>
      <c r="G93" s="30" t="n">
        <f aca="false">F93+G92</f>
        <v>-8939.94692068307</v>
      </c>
      <c r="H93" s="30" t="n">
        <f aca="false">G93+H92</f>
        <v>-11248.4317521946</v>
      </c>
      <c r="I93" s="30" t="n">
        <f aca="false">H93+I92</f>
        <v>-13566.2182100094</v>
      </c>
      <c r="J93" s="30" t="n">
        <f aca="false">I93+J92</f>
        <v>-18871.4970936416</v>
      </c>
      <c r="K93" s="30" t="n">
        <f aca="false">J93+K92</f>
        <v>-24197.4833463367</v>
      </c>
      <c r="L93" s="30" t="n">
        <f aca="false">K93+L92</f>
        <v>-29571.7102255699</v>
      </c>
      <c r="M93" s="30" t="n">
        <f aca="false">L93+M92</f>
        <v>-34886.9354857623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14295.16434752</v>
      </c>
      <c r="C94" s="28" t="n">
        <f aca="false">Inputs!$B$49+C93</f>
        <v>13611.9739794112</v>
      </c>
      <c r="D94" s="28" t="n">
        <f aca="false">Inputs!$B$49+D93</f>
        <v>12835.7871250652</v>
      </c>
      <c r="E94" s="28" t="n">
        <f aca="false">Inputs!$B$49+E93</f>
        <v>10582.2941134353</v>
      </c>
      <c r="F94" s="28" t="n">
        <f aca="false">Inputs!$B$49+F93</f>
        <v>8354.0519503259</v>
      </c>
      <c r="G94" s="28" t="n">
        <f aca="false">Inputs!$B$49+G93</f>
        <v>6060.05307931693</v>
      </c>
      <c r="H94" s="28" t="n">
        <f aca="false">Inputs!$B$49+H93</f>
        <v>3751.56824780536</v>
      </c>
      <c r="I94" s="28" t="n">
        <f aca="false">Inputs!$B$49+I93</f>
        <v>1433.78178999057</v>
      </c>
      <c r="J94" s="28" t="n">
        <f aca="false">Inputs!$B$49+J93</f>
        <v>-3871.49709364159</v>
      </c>
      <c r="K94" s="28" t="n">
        <f aca="false">Inputs!$B$49+K93</f>
        <v>-9197.4833463367</v>
      </c>
      <c r="L94" s="28" t="n">
        <f aca="false">Inputs!$B$49+L93</f>
        <v>-14571.7102255699</v>
      </c>
      <c r="M94" s="28" t="n">
        <f aca="false">Inputs!$B$49+M93</f>
        <v>-19886.9354857623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4295.16434752</v>
      </c>
      <c r="C95" s="30" t="n">
        <f aca="false">Inputs!$B$54+C93</f>
        <v>3611.9739794112</v>
      </c>
      <c r="D95" s="30" t="n">
        <f aca="false">Inputs!$B$54+D93</f>
        <v>2835.78712506515</v>
      </c>
      <c r="E95" s="30" t="n">
        <f aca="false">Inputs!$B$54+E93</f>
        <v>582.294113435265</v>
      </c>
      <c r="F95" s="30" t="n">
        <f aca="false">Inputs!$B$54+F93</f>
        <v>-1645.9480496741</v>
      </c>
      <c r="G95" s="30" t="n">
        <f aca="false">Inputs!$B$54+G93</f>
        <v>-3939.94692068307</v>
      </c>
      <c r="H95" s="30" t="n">
        <f aca="false">Inputs!$B$54+H93</f>
        <v>-6248.43175219464</v>
      </c>
      <c r="I95" s="30" t="n">
        <f aca="false">Inputs!$B$54+I93</f>
        <v>-8566.21821000943</v>
      </c>
      <c r="J95" s="30" t="n">
        <f aca="false">Inputs!$B$54+J93</f>
        <v>-13871.4970936416</v>
      </c>
      <c r="K95" s="30" t="n">
        <f aca="false">Inputs!$B$54+K93</f>
        <v>-19197.4833463367</v>
      </c>
      <c r="L95" s="30" t="n">
        <f aca="false">Inputs!$B$54+L93</f>
        <v>-24571.7102255699</v>
      </c>
      <c r="M95" s="30" t="n">
        <f aca="false">Inputs!$B$54+M93</f>
        <v>-29886.9354857623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14295.16434752</v>
      </c>
      <c r="C96" s="29" t="n">
        <f aca="false">Inputs!$B$55+C93</f>
        <v>13611.9739794112</v>
      </c>
      <c r="D96" s="29" t="n">
        <f aca="false">Inputs!$B$55+D93</f>
        <v>12835.7871250652</v>
      </c>
      <c r="E96" s="29" t="n">
        <f aca="false">Inputs!$B$55+E93</f>
        <v>10582.2941134353</v>
      </c>
      <c r="F96" s="29" t="n">
        <f aca="false">Inputs!$B$55+F93</f>
        <v>8354.0519503259</v>
      </c>
      <c r="G96" s="29" t="n">
        <f aca="false">Inputs!$B$55+G93</f>
        <v>6060.05307931693</v>
      </c>
      <c r="H96" s="29" t="n">
        <f aca="false">Inputs!$B$55+H93</f>
        <v>3751.56824780536</v>
      </c>
      <c r="I96" s="29" t="n">
        <f aca="false">Inputs!$B$55+I93</f>
        <v>1433.78178999057</v>
      </c>
      <c r="J96" s="29" t="n">
        <f aca="false">Inputs!$B$55+J93</f>
        <v>-3871.49709364159</v>
      </c>
      <c r="K96" s="29" t="n">
        <f aca="false">Inputs!$B$55+K93</f>
        <v>-9197.4833463367</v>
      </c>
      <c r="L96" s="29" t="n">
        <f aca="false">Inputs!$B$55+L93</f>
        <v>-14571.7102255699</v>
      </c>
      <c r="M96" s="29" t="n">
        <f aca="false">Inputs!$B$55+M93</f>
        <v>-19886.9354857623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29295.16434752</v>
      </c>
      <c r="C97" s="30" t="n">
        <f aca="false">Inputs!$B$56+C93</f>
        <v>28611.9739794112</v>
      </c>
      <c r="D97" s="30" t="n">
        <f aca="false">Inputs!$B$56+D93</f>
        <v>27835.7871250652</v>
      </c>
      <c r="E97" s="30" t="n">
        <f aca="false">Inputs!$B$56+E93</f>
        <v>25582.2941134353</v>
      </c>
      <c r="F97" s="30" t="n">
        <f aca="false">Inputs!$B$56+F93</f>
        <v>23354.0519503259</v>
      </c>
      <c r="G97" s="30" t="n">
        <f aca="false">Inputs!$B$56+G93</f>
        <v>21060.0530793169</v>
      </c>
      <c r="H97" s="30" t="n">
        <f aca="false">Inputs!$B$56+H93</f>
        <v>18751.5682478054</v>
      </c>
      <c r="I97" s="30" t="n">
        <f aca="false">Inputs!$B$56+I93</f>
        <v>16433.7817899906</v>
      </c>
      <c r="J97" s="30" t="n">
        <f aca="false">Inputs!$B$56+J93</f>
        <v>11128.5029063584</v>
      </c>
      <c r="K97" s="30" t="n">
        <f aca="false">Inputs!$B$56+K93</f>
        <v>5802.5166536633</v>
      </c>
      <c r="L97" s="30" t="n">
        <f aca="false">Inputs!$B$56+L93</f>
        <v>428.289774430072</v>
      </c>
      <c r="M97" s="30" t="n">
        <f aca="false">Inputs!$B$56+M93</f>
        <v>-4886.9354857623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1.98566986616196</v>
      </c>
      <c r="D99" s="30" t="n">
        <f aca="false">IFERROR(D77/(D35+D45+D55+D65),0)</f>
        <v>2.07658348014843</v>
      </c>
      <c r="E99" s="30" t="n">
        <f aca="false">IFERROR(E77/(E35+E45+E55+E65),0)</f>
        <v>2.1681484728233</v>
      </c>
      <c r="F99" s="30" t="n">
        <f aca="false">IFERROR(F77/(F35+F45+F55+F65),0)</f>
        <v>2.25714988203502</v>
      </c>
      <c r="G99" s="30" t="n">
        <f aca="false">IFERROR(G77/(G35+G45+G55+G65),0)</f>
        <v>2.34238800028285</v>
      </c>
      <c r="H99" s="30" t="n">
        <f aca="false">IFERROR(H77/(H35+H45+H55+H65),0)</f>
        <v>2.42321417873784</v>
      </c>
      <c r="I99" s="30" t="n">
        <f aca="false">IFERROR(I77/(I35+I45+I55+I65),0)</f>
        <v>2.49923845869823</v>
      </c>
      <c r="J99" s="30" t="n">
        <f aca="false">IFERROR(J77/(J35+J45+J55+J65),0)</f>
        <v>2.57023920816244</v>
      </c>
      <c r="K99" s="30" t="n">
        <f aca="false">IFERROR(K77/(K35+K45+K55+K65),0)</f>
        <v>2.63612310765533</v>
      </c>
      <c r="L99" s="30" t="n">
        <f aca="false">IFERROR(L77/(L35+L45+L55+L65),0)</f>
        <v>2.69690033166233</v>
      </c>
      <c r="M99" s="30" t="n">
        <f aca="false">IFERROR(M77/(M35+M45+M55+M65),0)</f>
        <v>2.75266502283758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36.4726087466667</v>
      </c>
      <c r="C100" s="29" t="n">
        <f aca="false">IFERROR(C83/C74,0)</f>
        <v>24.282699788061</v>
      </c>
      <c r="D100" s="29" t="n">
        <f aca="false">IFERROR(D83/D74,0)</f>
        <v>25.4415114956059</v>
      </c>
      <c r="E100" s="29" t="n">
        <f aca="false">IFERROR(E83/E74,0)</f>
        <v>23.2217881024626</v>
      </c>
      <c r="F100" s="29" t="n">
        <f aca="false">IFERROR(F83/F74,0)</f>
        <v>21.939129059153</v>
      </c>
      <c r="G100" s="29" t="n">
        <f aca="false">IFERROR(G83/G74,0)</f>
        <v>22.3121232714798</v>
      </c>
      <c r="H100" s="29" t="n">
        <f aca="false">IFERROR(H83/H74,0)</f>
        <v>21.9521097991507</v>
      </c>
      <c r="I100" s="29" t="n">
        <f aca="false">IFERROR(I83/I74,0)</f>
        <v>21.6163306933809</v>
      </c>
      <c r="J100" s="29" t="n">
        <f aca="false">IFERROR(J83/J74,0)</f>
        <v>21.1763448779606</v>
      </c>
      <c r="K100" s="29" t="n">
        <f aca="false">IFERROR(K83/K74,0)</f>
        <v>21.0408891911787</v>
      </c>
      <c r="L100" s="29" t="n">
        <f aca="false">IFERROR(L83/L74,0)</f>
        <v>21.0675887091912</v>
      </c>
      <c r="M100" s="29" t="n">
        <f aca="false">IFERROR(M83/M74,0)</f>
        <v>20.5335615209316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-12.4726087466667</v>
      </c>
      <c r="C101" s="30" t="n">
        <f aca="false">C98-C100</f>
        <v>-0.282699788061009</v>
      </c>
      <c r="D101" s="30" t="n">
        <f aca="false">D98-D100</f>
        <v>-1.44151149560586</v>
      </c>
      <c r="E101" s="30" t="n">
        <f aca="false">E98-E100</f>
        <v>0.778211897537386</v>
      </c>
      <c r="F101" s="30" t="n">
        <f aca="false">F98-F100</f>
        <v>2.06087094084701</v>
      </c>
      <c r="G101" s="30" t="n">
        <f aca="false">G98-G100</f>
        <v>1.68787672852023</v>
      </c>
      <c r="H101" s="30" t="n">
        <f aca="false">H98-H100</f>
        <v>2.0478902008493</v>
      </c>
      <c r="I101" s="30" t="n">
        <f aca="false">I98-I100</f>
        <v>2.38366930661908</v>
      </c>
      <c r="J101" s="30" t="n">
        <f aca="false">J98-J100</f>
        <v>2.8236551220394</v>
      </c>
      <c r="K101" s="30" t="n">
        <f aca="false">K98-K100</f>
        <v>2.95911080882135</v>
      </c>
      <c r="L101" s="30" t="n">
        <f aca="false">L98-L100</f>
        <v>2.93241129080878</v>
      </c>
      <c r="M101" s="30" t="n">
        <f aca="false">M98-M100</f>
        <v>3.46643847906838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19.4552974384346</v>
      </c>
      <c r="F102" s="32" t="n">
        <f aca="false">IF(F101&gt;0,F101/$B$7,0)</f>
        <v>51.5217735211754</v>
      </c>
      <c r="G102" s="32" t="n">
        <f aca="false">IF(G101&gt;0,G101/$B$7,0)</f>
        <v>42.1969182130057</v>
      </c>
      <c r="H102" s="32" t="n">
        <f aca="false">IF(H101&gt;0,H101/$B$7,0)</f>
        <v>51.1972550212324</v>
      </c>
      <c r="I102" s="32" t="n">
        <f aca="false">IF(I101&gt;0,I101/$B$7,0)</f>
        <v>59.591732665477</v>
      </c>
      <c r="J102" s="32" t="n">
        <f aca="false">IF(J101&gt;0,J101/$B$7,0)</f>
        <v>70.5913780509849</v>
      </c>
      <c r="K102" s="32" t="n">
        <f aca="false">IF(K101&gt;0,K101/$B$7,0)</f>
        <v>73.9777702205338</v>
      </c>
      <c r="L102" s="32" t="n">
        <f aca="false">IF(L101&gt;0,L101/$B$7,0)</f>
        <v>73.3102822702196</v>
      </c>
      <c r="M102" s="32" t="n">
        <f aca="false">IF(M101&gt;0,M101/$B$7,0)</f>
        <v>86.6609619767096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0.486382435960866</v>
      </c>
      <c r="F103" s="33" t="n">
        <f aca="false">IF(F101&gt;0,F102/$B$9,0)</f>
        <v>1.28804433802938</v>
      </c>
      <c r="G103" s="33" t="n">
        <f aca="false">IF(G101&gt;0,G102/$B$9,0)</f>
        <v>1.05492295532514</v>
      </c>
      <c r="H103" s="33" t="n">
        <f aca="false">IF(H101&gt;0,H102/$B$9,0)</f>
        <v>1.27993137553081</v>
      </c>
      <c r="I103" s="33" t="n">
        <f aca="false">IF(I101&gt;0,I102/$B$9,0)</f>
        <v>1.48979331663692</v>
      </c>
      <c r="J103" s="33" t="n">
        <f aca="false">IF(J101&gt;0,J102/$B$9,0)</f>
        <v>1.76478445127462</v>
      </c>
      <c r="K103" s="33" t="n">
        <f aca="false">IF(K101&gt;0,K102/$B$9,0)</f>
        <v>1.84944425551334</v>
      </c>
      <c r="L103" s="33" t="n">
        <f aca="false">IF(L101&gt;0,L102/$B$9,0)</f>
        <v>1.83275705675549</v>
      </c>
      <c r="M103" s="33" t="n">
        <f aca="false">IF(M101&gt;0,M102/$B$9,0)</f>
        <v>2.16652404941774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51.3998823798224</v>
      </c>
      <c r="F104" s="32" t="n">
        <f aca="false">IF(F101&gt;0,$B$9/F101,0)</f>
        <v>19.409269744742</v>
      </c>
      <c r="G104" s="32" t="n">
        <f aca="false">IF(G101&gt;0,$B$9/G101,0)</f>
        <v>23.6984131151973</v>
      </c>
      <c r="H104" s="32" t="n">
        <f aca="false">IF(H101&gt;0,$B$9/H101,0)</f>
        <v>19.5322971824424</v>
      </c>
      <c r="I104" s="32" t="n">
        <f aca="false">IF(I101&gt;0,$B$9/I101,0)</f>
        <v>16.780851223333</v>
      </c>
      <c r="J104" s="32" t="n">
        <f aca="false">IF(J101&gt;0,$B$9/J101,0)</f>
        <v>14.1660359609037</v>
      </c>
      <c r="K104" s="32" t="n">
        <f aca="false">IF(K101&gt;0,$B$9/K101,0)</f>
        <v>13.517574225594</v>
      </c>
      <c r="L104" s="32" t="n">
        <f aca="false">IF(L101&gt;0,$B$9/L101,0)</f>
        <v>13.6406513388399</v>
      </c>
      <c r="M104" s="32" t="n">
        <f aca="false">IF(M101&gt;0,$B$9/M101,0)</f>
        <v>11.5392210885999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13" min="2" style="0" width="17"/>
  </cols>
  <sheetData>
    <row r="1" customFormat="false" ht="15" hidden="false" customHeight="false" outlineLevel="0" collapsed="false">
      <c r="A1" s="1" t="s">
        <v>187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A3" s="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5" hidden="false" customHeight="false" outlineLevel="0" collapsed="false">
      <c r="A4" s="2" t="s">
        <v>38</v>
      </c>
      <c r="B4" s="19" t="n">
        <f aca="false">Inputs!$B$2</f>
        <v>150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40</v>
      </c>
      <c r="B5" s="10" t="n">
        <f aca="false">Inputs!$B$3</f>
        <v>0.1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15" hidden="false" customHeight="false" outlineLevel="0" collapsed="false">
      <c r="A6" s="2" t="s">
        <v>41</v>
      </c>
      <c r="B6" s="7" t="n">
        <f aca="false">Inputs!$B$4</f>
        <v>0.08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3" t="s">
        <v>42</v>
      </c>
      <c r="B7" s="18" t="n">
        <v>0.06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5" hidden="false" customHeight="false" outlineLevel="0" collapsed="false">
      <c r="A8" s="2" t="s">
        <v>43</v>
      </c>
      <c r="B8" s="7" t="n">
        <f aca="false">Inputs!$B$6</f>
        <v>0.15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3" t="s">
        <v>44</v>
      </c>
      <c r="B9" s="20" t="n">
        <f aca="false">Inputs!$B$7</f>
        <v>40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5" hidden="false" customHeight="false" outlineLevel="0" collapsed="false">
      <c r="A10" s="2" t="s">
        <v>83</v>
      </c>
      <c r="B10" s="19" t="n">
        <f aca="false">Inputs!$B$45</f>
        <v>3000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3" t="s">
        <v>88</v>
      </c>
      <c r="B11" s="20" t="n">
        <f aca="false">Inputs!$B$50</f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5" hidden="false" customHeight="false" outlineLevel="0" collapsed="false">
      <c r="A12" s="2" t="s">
        <v>89</v>
      </c>
      <c r="B12" s="19" t="n">
        <f aca="false">Inputs!$B$51</f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3" t="s">
        <v>90</v>
      </c>
      <c r="B13" s="20" t="n">
        <f aca="false">Inputs!$B$52</f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5" hidden="false" customHeight="false" outlineLevel="0" collapsed="false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5" hidden="false" customHeight="false" outlineLevel="0" collapsed="false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3" t="s">
        <v>103</v>
      </c>
      <c r="B17" s="21" t="n">
        <f aca="false">Pricing!B2</f>
        <v>0</v>
      </c>
      <c r="C17" s="21" t="n">
        <f aca="false">Pricing!C2</f>
        <v>0</v>
      </c>
      <c r="D17" s="21" t="n">
        <f aca="false">Pricing!D2</f>
        <v>1</v>
      </c>
      <c r="E17" s="21" t="n">
        <f aca="false">Pricing!E2</f>
        <v>15</v>
      </c>
      <c r="F17" s="21" t="n">
        <f aca="false">Pricing!F2</f>
        <v>0</v>
      </c>
      <c r="G17" s="14"/>
      <c r="H17" s="14"/>
      <c r="I17" s="14"/>
      <c r="J17" s="14"/>
      <c r="K17" s="14"/>
      <c r="L17" s="14"/>
      <c r="M17" s="14"/>
    </row>
    <row r="18" customFormat="false" ht="15" hidden="false" customHeight="false" outlineLevel="0" collapsed="false">
      <c r="A18" s="2" t="s">
        <v>104</v>
      </c>
      <c r="B18" s="22" t="n">
        <f aca="false">Pricing!B3</f>
        <v>9</v>
      </c>
      <c r="C18" s="22" t="n">
        <f aca="false">Pricing!C3</f>
        <v>0.6</v>
      </c>
      <c r="D18" s="22" t="n">
        <f aca="false">Pricing!D3</f>
        <v>3</v>
      </c>
      <c r="E18" s="22" t="n">
        <f aca="false">Pricing!E3</f>
        <v>5</v>
      </c>
      <c r="F18" s="22" t="n">
        <f aca="false">Pricing!F3</f>
        <v>1</v>
      </c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3" t="s">
        <v>105</v>
      </c>
      <c r="B19" s="21" t="n">
        <f aca="false">Pricing!B4</f>
        <v>29</v>
      </c>
      <c r="C19" s="21" t="n">
        <f aca="false">Pricing!C4</f>
        <v>0.3</v>
      </c>
      <c r="D19" s="21" t="n">
        <f aca="false">Pricing!D4</f>
        <v>10</v>
      </c>
      <c r="E19" s="21" t="n">
        <f aca="false">Pricing!E4</f>
        <v>5</v>
      </c>
      <c r="F19" s="21" t="n">
        <f aca="false">Pricing!F4</f>
        <v>1</v>
      </c>
      <c r="G19" s="14"/>
      <c r="H19" s="14"/>
      <c r="I19" s="14"/>
      <c r="J19" s="14"/>
      <c r="K19" s="14"/>
      <c r="L19" s="14"/>
      <c r="M19" s="14"/>
    </row>
    <row r="20" customFormat="false" ht="15" hidden="false" customHeight="false" outlineLevel="0" collapsed="false">
      <c r="A20" s="2" t="s">
        <v>106</v>
      </c>
      <c r="B20" s="22" t="n">
        <f aca="false">Pricing!B5</f>
        <v>99</v>
      </c>
      <c r="C20" s="22" t="n">
        <f aca="false">Pricing!C5</f>
        <v>0.1</v>
      </c>
      <c r="D20" s="22" t="n">
        <f aca="false">Pricing!D5</f>
        <v>30</v>
      </c>
      <c r="E20" s="22" t="n">
        <f aca="false">Pricing!E5</f>
        <v>5</v>
      </c>
      <c r="F20" s="22" t="n">
        <f aca="false">Pricing!F5</f>
        <v>1</v>
      </c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5" hidden="false" customHeight="false" outlineLevel="0" collapsed="false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23"/>
      <c r="B25" s="24" t="n">
        <v>46296</v>
      </c>
      <c r="C25" s="24" t="n">
        <v>46327</v>
      </c>
      <c r="D25" s="24" t="n">
        <v>46357</v>
      </c>
      <c r="E25" s="24" t="n">
        <v>46388</v>
      </c>
      <c r="F25" s="24" t="n">
        <v>46419</v>
      </c>
      <c r="G25" s="24" t="n">
        <v>46447</v>
      </c>
      <c r="H25" s="24" t="n">
        <v>46478</v>
      </c>
      <c r="I25" s="24" t="n">
        <v>46508</v>
      </c>
      <c r="J25" s="24" t="n">
        <v>46539</v>
      </c>
      <c r="K25" s="24" t="n">
        <v>46569</v>
      </c>
      <c r="L25" s="24" t="n">
        <v>46600</v>
      </c>
      <c r="M25" s="24" t="n">
        <v>46631</v>
      </c>
    </row>
    <row r="26" customFormat="false" ht="15" hidden="false" customHeight="false" outlineLevel="0" collapsed="false">
      <c r="A26" s="2" t="s">
        <v>108</v>
      </c>
      <c r="B26" s="19" t="n">
        <f aca="false">$B$4</f>
        <v>150</v>
      </c>
      <c r="C26" s="22" t="n">
        <f aca="false">B26*(1+$B$5)</f>
        <v>165</v>
      </c>
      <c r="D26" s="22" t="n">
        <f aca="false">C26*(1+$B$5)</f>
        <v>181.5</v>
      </c>
      <c r="E26" s="22" t="n">
        <f aca="false">D26*(1+$B$5)</f>
        <v>199.65</v>
      </c>
      <c r="F26" s="22" t="n">
        <f aca="false">E26*(1+$B$5)</f>
        <v>219.615</v>
      </c>
      <c r="G26" s="22" t="n">
        <f aca="false">F26*(1+$B$5)</f>
        <v>241.5765</v>
      </c>
      <c r="H26" s="22" t="n">
        <f aca="false">G26*(1+$B$5)</f>
        <v>265.73415</v>
      </c>
      <c r="I26" s="22" t="n">
        <f aca="false">H26*(1+$B$5)</f>
        <v>292.307565</v>
      </c>
      <c r="J26" s="22" t="n">
        <f aca="false">I26*(1+$B$5)</f>
        <v>321.5383215</v>
      </c>
      <c r="K26" s="22" t="n">
        <f aca="false">J26*(1+$B$5)</f>
        <v>353.69215365</v>
      </c>
      <c r="L26" s="22" t="n">
        <f aca="false">K26*(1+$B$5)</f>
        <v>389.061369015</v>
      </c>
      <c r="M26" s="22" t="n">
        <f aca="false">L26*(1+$B$5)</f>
        <v>427.9675059165</v>
      </c>
    </row>
    <row r="27" customFormat="false" ht="15" hidden="false" customHeight="false" outlineLevel="0" collapsed="false">
      <c r="A27" s="3" t="s">
        <v>109</v>
      </c>
      <c r="B27" s="21" t="n">
        <f aca="false">B26*$B$6</f>
        <v>12</v>
      </c>
      <c r="C27" s="21" t="n">
        <f aca="false">C26*$B$6</f>
        <v>13.2</v>
      </c>
      <c r="D27" s="21" t="n">
        <f aca="false">D26*$B$6</f>
        <v>14.52</v>
      </c>
      <c r="E27" s="21" t="n">
        <f aca="false">E26*$B$6</f>
        <v>15.972</v>
      </c>
      <c r="F27" s="21" t="n">
        <f aca="false">F26*$B$6</f>
        <v>17.5692</v>
      </c>
      <c r="G27" s="21" t="n">
        <f aca="false">G26*$B$6</f>
        <v>19.32612</v>
      </c>
      <c r="H27" s="21" t="n">
        <f aca="false">H26*$B$6</f>
        <v>21.258732</v>
      </c>
      <c r="I27" s="21" t="n">
        <f aca="false">I26*$B$6</f>
        <v>23.3846052</v>
      </c>
      <c r="J27" s="21" t="n">
        <f aca="false">J26*$B$6</f>
        <v>25.72306572</v>
      </c>
      <c r="K27" s="21" t="n">
        <f aca="false">K26*$B$6</f>
        <v>28.295372292</v>
      </c>
      <c r="L27" s="21" t="n">
        <f aca="false">L26*$B$6</f>
        <v>31.1249095212</v>
      </c>
      <c r="M27" s="21" t="n">
        <f aca="false">M26*$B$6</f>
        <v>34.23740047332</v>
      </c>
    </row>
    <row r="28" customFormat="false" ht="15" hidden="false" customHeight="false" outlineLevel="0" collapsed="false">
      <c r="A28" s="2" t="s">
        <v>110</v>
      </c>
      <c r="B28" s="22" t="n">
        <f aca="false">B26-B27</f>
        <v>138</v>
      </c>
      <c r="C28" s="22" t="n">
        <f aca="false">C26-C27</f>
        <v>151.8</v>
      </c>
      <c r="D28" s="22" t="n">
        <f aca="false">D26-D27</f>
        <v>166.98</v>
      </c>
      <c r="E28" s="22" t="n">
        <f aca="false">E26-E27</f>
        <v>183.678</v>
      </c>
      <c r="F28" s="22" t="n">
        <f aca="false">F26-F27</f>
        <v>202.0458</v>
      </c>
      <c r="G28" s="22" t="n">
        <f aca="false">G26-G27</f>
        <v>222.25038</v>
      </c>
      <c r="H28" s="22" t="n">
        <f aca="false">H26-H27</f>
        <v>244.475418</v>
      </c>
      <c r="I28" s="22" t="n">
        <f aca="false">I26-I27</f>
        <v>268.9229598</v>
      </c>
      <c r="J28" s="22" t="n">
        <f aca="false">J26-J27</f>
        <v>295.81525578</v>
      </c>
      <c r="K28" s="22" t="n">
        <f aca="false">K26-K27</f>
        <v>325.396781358</v>
      </c>
      <c r="L28" s="22" t="n">
        <f aca="false">L26-L27</f>
        <v>357.9364594938</v>
      </c>
      <c r="M28" s="22" t="n">
        <f aca="false">M26-M27</f>
        <v>393.73010544318</v>
      </c>
    </row>
    <row r="29" customFormat="false" ht="15" hidden="false" customHeight="false" outlineLevel="0" collapsed="false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15" hidden="false" customHeight="false" outlineLevel="0" collapsed="false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3" t="s">
        <v>111</v>
      </c>
      <c r="B31" s="21" t="n">
        <f aca="false">0</f>
        <v>0</v>
      </c>
      <c r="C31" s="21" t="n">
        <f aca="false">B34</f>
        <v>138</v>
      </c>
      <c r="D31" s="21" t="n">
        <f aca="false">C34</f>
        <v>269.1</v>
      </c>
      <c r="E31" s="21" t="n">
        <f aca="false">D34</f>
        <v>395.715</v>
      </c>
      <c r="F31" s="21" t="n">
        <f aca="false">E34</f>
        <v>520.03575</v>
      </c>
      <c r="G31" s="21" t="n">
        <f aca="false">F34</f>
        <v>644.0761875</v>
      </c>
      <c r="H31" s="21" t="n">
        <f aca="false">G34</f>
        <v>769.715139375</v>
      </c>
      <c r="I31" s="21" t="n">
        <f aca="false">H34</f>
        <v>898.73328646875</v>
      </c>
      <c r="J31" s="21" t="n">
        <f aca="false">I34</f>
        <v>1032.84625329844</v>
      </c>
      <c r="K31" s="21" t="n">
        <f aca="false">J34</f>
        <v>1173.73457108367</v>
      </c>
      <c r="L31" s="21" t="n">
        <f aca="false">K34</f>
        <v>1323.07116677912</v>
      </c>
      <c r="M31" s="21" t="n">
        <f aca="false">L34</f>
        <v>1482.54695125605</v>
      </c>
    </row>
    <row r="32" customFormat="false" ht="15" hidden="false" customHeight="false" outlineLevel="0" collapsed="false">
      <c r="A32" s="2" t="s">
        <v>112</v>
      </c>
      <c r="B32" s="22" t="n">
        <f aca="false">B28</f>
        <v>138</v>
      </c>
      <c r="C32" s="22" t="n">
        <f aca="false">C28</f>
        <v>151.8</v>
      </c>
      <c r="D32" s="22" t="n">
        <f aca="false">D28</f>
        <v>166.98</v>
      </c>
      <c r="E32" s="22" t="n">
        <f aca="false">E28</f>
        <v>183.678</v>
      </c>
      <c r="F32" s="22" t="n">
        <f aca="false">F28</f>
        <v>202.0458</v>
      </c>
      <c r="G32" s="22" t="n">
        <f aca="false">G28</f>
        <v>222.25038</v>
      </c>
      <c r="H32" s="22" t="n">
        <f aca="false">H28</f>
        <v>244.475418</v>
      </c>
      <c r="I32" s="22" t="n">
        <f aca="false">I28</f>
        <v>268.9229598</v>
      </c>
      <c r="J32" s="22" t="n">
        <f aca="false">J28</f>
        <v>295.81525578</v>
      </c>
      <c r="K32" s="22" t="n">
        <f aca="false">K28</f>
        <v>325.396781358</v>
      </c>
      <c r="L32" s="22" t="n">
        <f aca="false">L28</f>
        <v>357.9364594938</v>
      </c>
      <c r="M32" s="22" t="n">
        <f aca="false">M28</f>
        <v>393.73010544318</v>
      </c>
    </row>
    <row r="33" customFormat="false" ht="15" hidden="false" customHeight="false" outlineLevel="0" collapsed="false">
      <c r="A33" s="3" t="s">
        <v>113</v>
      </c>
      <c r="B33" s="21" t="n">
        <f aca="false">B31*$B$8</f>
        <v>0</v>
      </c>
      <c r="C33" s="21" t="n">
        <f aca="false">C31*$B$8</f>
        <v>20.7</v>
      </c>
      <c r="D33" s="21" t="n">
        <f aca="false">D31*$B$8</f>
        <v>40.365</v>
      </c>
      <c r="E33" s="21" t="n">
        <f aca="false">E31*$B$8</f>
        <v>59.35725</v>
      </c>
      <c r="F33" s="21" t="n">
        <f aca="false">F31*$B$8</f>
        <v>78.0053625</v>
      </c>
      <c r="G33" s="21" t="n">
        <f aca="false">G31*$B$8</f>
        <v>96.611428125</v>
      </c>
      <c r="H33" s="21" t="n">
        <f aca="false">H31*$B$8</f>
        <v>115.45727090625</v>
      </c>
      <c r="I33" s="21" t="n">
        <f aca="false">I31*$B$8</f>
        <v>134.809992970313</v>
      </c>
      <c r="J33" s="21" t="n">
        <f aca="false">J31*$B$8</f>
        <v>154.926937994766</v>
      </c>
      <c r="K33" s="21" t="n">
        <f aca="false">K31*$B$8</f>
        <v>176.060185662551</v>
      </c>
      <c r="L33" s="21" t="n">
        <f aca="false">L31*$B$8</f>
        <v>198.460675016868</v>
      </c>
      <c r="M33" s="21" t="n">
        <f aca="false">M31*$B$8</f>
        <v>222.382042688408</v>
      </c>
    </row>
    <row r="34" customFormat="false" ht="15" hidden="false" customHeight="false" outlineLevel="0" collapsed="false">
      <c r="A34" s="2" t="s">
        <v>114</v>
      </c>
      <c r="B34" s="22" t="n">
        <f aca="false">B31+B32-B33</f>
        <v>138</v>
      </c>
      <c r="C34" s="22" t="n">
        <f aca="false">C31+C32-C33</f>
        <v>269.1</v>
      </c>
      <c r="D34" s="22" t="n">
        <f aca="false">D31+D32-D33</f>
        <v>395.715</v>
      </c>
      <c r="E34" s="22" t="n">
        <f aca="false">E31+E32-E33</f>
        <v>520.03575</v>
      </c>
      <c r="F34" s="22" t="n">
        <f aca="false">F31+F32-F33</f>
        <v>644.0761875</v>
      </c>
      <c r="G34" s="22" t="n">
        <f aca="false">G31+G32-G33</f>
        <v>769.715139375</v>
      </c>
      <c r="H34" s="22" t="n">
        <f aca="false">H31+H32-H33</f>
        <v>898.73328646875</v>
      </c>
      <c r="I34" s="22" t="n">
        <f aca="false">I31+I32-I33</f>
        <v>1032.84625329844</v>
      </c>
      <c r="J34" s="22" t="n">
        <f aca="false">J31+J32-J33</f>
        <v>1173.73457108367</v>
      </c>
      <c r="K34" s="22" t="n">
        <f aca="false">K31+K32-K33</f>
        <v>1323.07116677912</v>
      </c>
      <c r="L34" s="22" t="n">
        <f aca="false">L31+L32-L33</f>
        <v>1482.54695125605</v>
      </c>
      <c r="M34" s="22" t="n">
        <f aca="false">M31+M32-M33</f>
        <v>1653.89501401083</v>
      </c>
    </row>
    <row r="35" customFormat="false" ht="15" hidden="false" customHeight="false" outlineLevel="0" collapsed="false">
      <c r="A35" s="3" t="s">
        <v>115</v>
      </c>
      <c r="B35" s="21" t="n">
        <f aca="false">(B31+B34)/2</f>
        <v>69</v>
      </c>
      <c r="C35" s="21" t="n">
        <f aca="false">(C31+C34)/2</f>
        <v>203.55</v>
      </c>
      <c r="D35" s="21" t="n">
        <f aca="false">(D31+D34)/2</f>
        <v>332.4075</v>
      </c>
      <c r="E35" s="21" t="n">
        <f aca="false">(E31+E34)/2</f>
        <v>457.875375</v>
      </c>
      <c r="F35" s="21" t="n">
        <f aca="false">(F31+F34)/2</f>
        <v>582.05596875</v>
      </c>
      <c r="G35" s="21" t="n">
        <f aca="false">(G31+G34)/2</f>
        <v>706.8956634375</v>
      </c>
      <c r="H35" s="21" t="n">
        <f aca="false">(H31+H34)/2</f>
        <v>834.224212921875</v>
      </c>
      <c r="I35" s="21" t="n">
        <f aca="false">(I31+I34)/2</f>
        <v>965.789769883594</v>
      </c>
      <c r="J35" s="21" t="n">
        <f aca="false">(J31+J34)/2</f>
        <v>1103.29041219106</v>
      </c>
      <c r="K35" s="21" t="n">
        <f aca="false">(K31+K34)/2</f>
        <v>1248.4028689314</v>
      </c>
      <c r="L35" s="21" t="n">
        <f aca="false">(L31+L34)/2</f>
        <v>1402.80905901759</v>
      </c>
      <c r="M35" s="21" t="n">
        <f aca="false">(M31+M34)/2</f>
        <v>1568.22098263344</v>
      </c>
    </row>
    <row r="36" customFormat="false" ht="15" hidden="false" customHeight="false" outlineLevel="0" collapsed="false">
      <c r="A36" s="2" t="s">
        <v>116</v>
      </c>
      <c r="B36" s="22" t="n">
        <f aca="false">B35*$B$17</f>
        <v>0</v>
      </c>
      <c r="C36" s="22" t="n">
        <f aca="false">C35*$B$17</f>
        <v>0</v>
      </c>
      <c r="D36" s="22" t="n">
        <f aca="false">D35*$B$17</f>
        <v>0</v>
      </c>
      <c r="E36" s="22" t="n">
        <f aca="false">E35*$B$17</f>
        <v>0</v>
      </c>
      <c r="F36" s="22" t="n">
        <f aca="false">F35*$B$17</f>
        <v>0</v>
      </c>
      <c r="G36" s="22" t="n">
        <f aca="false">G35*$B$17</f>
        <v>0</v>
      </c>
      <c r="H36" s="22" t="n">
        <f aca="false">H35*$B$17</f>
        <v>0</v>
      </c>
      <c r="I36" s="22" t="n">
        <f aca="false">I35*$B$17</f>
        <v>0</v>
      </c>
      <c r="J36" s="22" t="n">
        <f aca="false">J35*$B$17</f>
        <v>0</v>
      </c>
      <c r="K36" s="22" t="n">
        <f aca="false">K35*$B$17</f>
        <v>0</v>
      </c>
      <c r="L36" s="22" t="n">
        <f aca="false">L35*$B$17</f>
        <v>0</v>
      </c>
      <c r="M36" s="22" t="n">
        <f aca="false">M35*$B$17</f>
        <v>0</v>
      </c>
    </row>
    <row r="37" customFormat="false" ht="15" hidden="false" customHeight="false" outlineLevel="0" collapsed="false">
      <c r="A37" s="3" t="s">
        <v>117</v>
      </c>
      <c r="B37" s="21" t="n">
        <f aca="false">(B35*$D$17)*DAY(EOMONTH(B$25,0))*1440/$E$17*$B$12</f>
        <v>205344</v>
      </c>
      <c r="C37" s="21" t="n">
        <f aca="false">(C35*$D$17)*DAY(EOMONTH(C$25,0))*1440/$E$17*$B$12</f>
        <v>586224</v>
      </c>
      <c r="D37" s="21" t="n">
        <f aca="false">(D35*$D$17)*DAY(EOMONTH(D$25,0))*1440/$E$17*$B$12</f>
        <v>989244.72</v>
      </c>
      <c r="E37" s="21" t="n">
        <f aca="false">(E35*$D$17)*DAY(EOMONTH(E$25,0))*1440/$E$17*$B$12</f>
        <v>1362637.116</v>
      </c>
      <c r="F37" s="21" t="n">
        <f aca="false">(F35*$D$17)*DAY(EOMONTH(F$25,0))*1440/$E$17*$B$12</f>
        <v>1564566.444</v>
      </c>
      <c r="G37" s="21" t="n">
        <f aca="false">(G35*$D$17)*DAY(EOMONTH(G$25,0))*1440/$E$17*$B$12</f>
        <v>2103721.49439</v>
      </c>
      <c r="H37" s="21" t="n">
        <f aca="false">(H35*$D$17)*DAY(EOMONTH(H$25,0))*1440/$E$17*$B$12</f>
        <v>2402565.733215</v>
      </c>
      <c r="I37" s="21" t="n">
        <f aca="false">(I35*$D$17)*DAY(EOMONTH(I$25,0))*1440/$E$17*$B$12</f>
        <v>2874190.35517358</v>
      </c>
      <c r="J37" s="21" t="n">
        <f aca="false">(J35*$D$17)*DAY(EOMONTH(J$25,0))*1440/$E$17*$B$12</f>
        <v>3177476.38711024</v>
      </c>
      <c r="K37" s="21" t="n">
        <f aca="false">(K35*$D$17)*DAY(EOMONTH(K$25,0))*1440/$E$17*$B$12</f>
        <v>3715246.93793984</v>
      </c>
      <c r="L37" s="21" t="n">
        <f aca="false">(L35*$D$17)*DAY(EOMONTH(L$25,0))*1440/$E$17*$B$12</f>
        <v>4174759.75963634</v>
      </c>
      <c r="M37" s="21" t="n">
        <f aca="false">(M35*$D$17)*DAY(EOMONTH(M$25,0))*1440/$E$17*$B$12</f>
        <v>4516476.42998431</v>
      </c>
    </row>
    <row r="38" customFormat="false" ht="15" hidden="false" customHeight="false" outlineLevel="0" collapsed="false">
      <c r="A38" s="2" t="s">
        <v>118</v>
      </c>
      <c r="B38" s="22" t="n">
        <f aca="false">(B35*$D$17)*Inputs!$B$8*$B$13*Inputs!$B$9*$F$17</f>
        <v>0</v>
      </c>
      <c r="C38" s="22" t="n">
        <f aca="false">(C35*$D$17)*Inputs!$B$8*$B$13*Inputs!$B$9*$F$17</f>
        <v>0</v>
      </c>
      <c r="D38" s="22" t="n">
        <f aca="false">(D35*$D$17)*Inputs!$B$8*$B$13*Inputs!$B$9*$F$17</f>
        <v>0</v>
      </c>
      <c r="E38" s="22" t="n">
        <f aca="false">(E35*$D$17)*Inputs!$B$8*$B$13*Inputs!$B$9*$F$17</f>
        <v>0</v>
      </c>
      <c r="F38" s="22" t="n">
        <f aca="false">(F35*$D$17)*Inputs!$B$8*$B$13*Inputs!$B$9*$F$17</f>
        <v>0</v>
      </c>
      <c r="G38" s="22" t="n">
        <f aca="false">(G35*$D$17)*Inputs!$B$8*$B$13*Inputs!$B$9*$F$17</f>
        <v>0</v>
      </c>
      <c r="H38" s="22" t="n">
        <f aca="false">(H35*$D$17)*Inputs!$B$8*$B$13*Inputs!$B$9*$F$17</f>
        <v>0</v>
      </c>
      <c r="I38" s="22" t="n">
        <f aca="false">(I35*$D$17)*Inputs!$B$8*$B$13*Inputs!$B$9*$F$17</f>
        <v>0</v>
      </c>
      <c r="J38" s="22" t="n">
        <f aca="false">(J35*$D$17)*Inputs!$B$8*$B$13*Inputs!$B$9*$F$17</f>
        <v>0</v>
      </c>
      <c r="K38" s="22" t="n">
        <f aca="false">(K35*$D$17)*Inputs!$B$8*$B$13*Inputs!$B$9*$F$17</f>
        <v>0</v>
      </c>
      <c r="L38" s="22" t="n">
        <f aca="false">(L35*$D$17)*Inputs!$B$8*$B$13*Inputs!$B$9*$F$17</f>
        <v>0</v>
      </c>
      <c r="M38" s="22" t="n">
        <f aca="false">(M35*$D$17)*Inputs!$B$8*$B$13*Inputs!$B$9*$F$17</f>
        <v>0</v>
      </c>
    </row>
    <row r="39" customFormat="false" ht="15" hidden="false" customHeight="false" outlineLevel="0" collapsed="false">
      <c r="A39" s="3" t="s">
        <v>119</v>
      </c>
      <c r="B39" s="21" t="n">
        <f aca="false">B37/1000*(Inputs!$B$19+Inputs!$B$20+Inputs!$B$21+Inputs!$B$22+Inputs!$B$23+Inputs!$B$24)+B38*((((Inputs!$B$10*Inputs!$B$15+Inputs!$B$11*Inputs!$B$16)*(1-Inputs!$B$14)+(Inputs!$B$10*Inputs!$B$17+Inputs!$B$11*Inputs!$B$18)*Inputs!$B$14)/1000000*Inputs!$B$12)*$B$11+Inputs!$B$12*Inputs!$B$13)+(B35*$D$17)*Inputs!$B$25*Inputs!$B$26+((B35*$D$17)*Inputs!$B$8*$B$13)*Inputs!$B$27*Inputs!$B$28+B36*(Inputs!$B$29+Inputs!$B$31)</f>
        <v>35.10168</v>
      </c>
      <c r="C39" s="21" t="n">
        <f aca="false">C37/1000*(Inputs!$B$19+Inputs!$B$20+Inputs!$B$21+Inputs!$B$22+Inputs!$B$23+Inputs!$B$24)+C38*((((Inputs!$B$10*Inputs!$B$15+Inputs!$B$11*Inputs!$B$16)*(1-Inputs!$B$14)+(Inputs!$B$10*Inputs!$B$17+Inputs!$B$11*Inputs!$B$18)*Inputs!$B$14)/1000000*Inputs!$B$12)*$B$11+Inputs!$B$12*Inputs!$B$13)+(C35*$D$17)*Inputs!$B$25*Inputs!$B$26+((C35*$D$17)*Inputs!$B$8*$B$13)*Inputs!$B$27*Inputs!$B$28+C36*(Inputs!$B$29+Inputs!$B$31)</f>
        <v>100.22802</v>
      </c>
      <c r="D39" s="21" t="n">
        <f aca="false">D37/1000*(Inputs!$B$19+Inputs!$B$20+Inputs!$B$21+Inputs!$B$22+Inputs!$B$23+Inputs!$B$24)+D38*((((Inputs!$B$10*Inputs!$B$15+Inputs!$B$11*Inputs!$B$16)*(1-Inputs!$B$14)+(Inputs!$B$10*Inputs!$B$17+Inputs!$B$11*Inputs!$B$18)*Inputs!$B$14)/1000000*Inputs!$B$12)*$B$11+Inputs!$B$12*Inputs!$B$13)+(D35*$D$17)*Inputs!$B$25*Inputs!$B$26+((D35*$D$17)*Inputs!$B$8*$B$13)*Inputs!$B$27*Inputs!$B$28+D36*(Inputs!$B$29+Inputs!$B$31)</f>
        <v>169.1023434</v>
      </c>
      <c r="E39" s="21" t="n">
        <f aca="false">E37/1000*(Inputs!$B$19+Inputs!$B$20+Inputs!$B$21+Inputs!$B$22+Inputs!$B$23+Inputs!$B$24)+E38*((((Inputs!$B$10*Inputs!$B$15+Inputs!$B$11*Inputs!$B$16)*(1-Inputs!$B$14)+(Inputs!$B$10*Inputs!$B$17+Inputs!$B$11*Inputs!$B$18)*Inputs!$B$14)/1000000*Inputs!$B$12)*$B$11+Inputs!$B$12*Inputs!$B$13)+(E35*$D$17)*Inputs!$B$25*Inputs!$B$26+((E35*$D$17)*Inputs!$B$8*$B$13)*Inputs!$B$27*Inputs!$B$28+E36*(Inputs!$B$29+Inputs!$B$31)</f>
        <v>232.93036077</v>
      </c>
      <c r="F39" s="21" t="n">
        <f aca="false">F37/1000*(Inputs!$B$19+Inputs!$B$20+Inputs!$B$21+Inputs!$B$22+Inputs!$B$23+Inputs!$B$24)+F38*((((Inputs!$B$10*Inputs!$B$15+Inputs!$B$11*Inputs!$B$16)*(1-Inputs!$B$14)+(Inputs!$B$10*Inputs!$B$17+Inputs!$B$11*Inputs!$B$18)*Inputs!$B$14)/1000000*Inputs!$B$12)*$B$11+Inputs!$B$12*Inputs!$B$13)+(F35*$D$17)*Inputs!$B$25*Inputs!$B$26+((F35*$D$17)*Inputs!$B$8*$B$13)*Inputs!$B$27*Inputs!$B$28+F36*(Inputs!$B$29+Inputs!$B$31)</f>
        <v>267.6060521925</v>
      </c>
      <c r="G39" s="21" t="n">
        <f aca="false">G37/1000*(Inputs!$B$19+Inputs!$B$20+Inputs!$B$21+Inputs!$B$22+Inputs!$B$23+Inputs!$B$24)+G38*((((Inputs!$B$10*Inputs!$B$15+Inputs!$B$11*Inputs!$B$16)*(1-Inputs!$B$14)+(Inputs!$B$10*Inputs!$B$17+Inputs!$B$11*Inputs!$B$18)*Inputs!$B$14)/1000000*Inputs!$B$12)*$B$11+Inputs!$B$12*Inputs!$B$13)+(G35*$D$17)*Inputs!$B$25*Inputs!$B$26+((G35*$D$17)*Inputs!$B$8*$B$13)*Inputs!$B$27*Inputs!$B$28+G36*(Inputs!$B$29+Inputs!$B$31)</f>
        <v>359.611961903925</v>
      </c>
      <c r="H39" s="21" t="n">
        <f aca="false">H37/1000*(Inputs!$B$19+Inputs!$B$20+Inputs!$B$21+Inputs!$B$22+Inputs!$B$23+Inputs!$B$24)+H38*((((Inputs!$B$10*Inputs!$B$15+Inputs!$B$11*Inputs!$B$16)*(1-Inputs!$B$14)+(Inputs!$B$10*Inputs!$B$17+Inputs!$B$11*Inputs!$B$18)*Inputs!$B$14)/1000000*Inputs!$B$12)*$B$11+Inputs!$B$12*Inputs!$B$13)+(H35*$D$17)*Inputs!$B$25*Inputs!$B$26+((H35*$D$17)*Inputs!$B$8*$B$13)*Inputs!$B$27*Inputs!$B$28+H36*(Inputs!$B$29+Inputs!$B$31)</f>
        <v>410.772002442732</v>
      </c>
      <c r="I39" s="21" t="n">
        <f aca="false">I37/1000*(Inputs!$B$19+Inputs!$B$20+Inputs!$B$21+Inputs!$B$22+Inputs!$B$23+Inputs!$B$24)+I38*((((Inputs!$B$10*Inputs!$B$15+Inputs!$B$11*Inputs!$B$16)*(1-Inputs!$B$14)+(Inputs!$B$10*Inputs!$B$17+Inputs!$B$11*Inputs!$B$18)*Inputs!$B$14)/1000000*Inputs!$B$12)*$B$11+Inputs!$B$12*Inputs!$B$13)+(I35*$D$17)*Inputs!$B$25*Inputs!$B$26+((I35*$D$17)*Inputs!$B$8*$B$13)*Inputs!$B$27*Inputs!$B$28+I36*(Inputs!$B$29+Inputs!$B$31)</f>
        <v>491.316571735182</v>
      </c>
      <c r="J39" s="21" t="n">
        <f aca="false">J37/1000*(Inputs!$B$19+Inputs!$B$20+Inputs!$B$21+Inputs!$B$22+Inputs!$B$23+Inputs!$B$24)+J38*((((Inputs!$B$10*Inputs!$B$15+Inputs!$B$11*Inputs!$B$16)*(1-Inputs!$B$14)+(Inputs!$B$10*Inputs!$B$17+Inputs!$B$11*Inputs!$B$18)*Inputs!$B$14)/1000000*Inputs!$B$12)*$B$11+Inputs!$B$12*Inputs!$B$13)+(J35*$D$17)*Inputs!$B$25*Inputs!$B$26+((J35*$D$17)*Inputs!$B$8*$B$13)*Inputs!$B$27*Inputs!$B$28+J36*(Inputs!$B$29+Inputs!$B$31)</f>
        <v>543.260198962876</v>
      </c>
      <c r="K39" s="21" t="n">
        <f aca="false">K37/1000*(Inputs!$B$19+Inputs!$B$20+Inputs!$B$21+Inputs!$B$22+Inputs!$B$23+Inputs!$B$24)+K38*((((Inputs!$B$10*Inputs!$B$15+Inputs!$B$11*Inputs!$B$16)*(1-Inputs!$B$14)+(Inputs!$B$10*Inputs!$B$17+Inputs!$B$11*Inputs!$B$18)*Inputs!$B$14)/1000000*Inputs!$B$12)*$B$11+Inputs!$B$12*Inputs!$B$13)+(K35*$D$17)*Inputs!$B$25*Inputs!$B$26+((K35*$D$17)*Inputs!$B$8*$B$13)*Inputs!$B$27*Inputs!$B$28+K36*(Inputs!$B$29+Inputs!$B$31)</f>
        <v>635.087507482781</v>
      </c>
      <c r="L39" s="21" t="n">
        <f aca="false">L37/1000*(Inputs!$B$19+Inputs!$B$20+Inputs!$B$21+Inputs!$B$22+Inputs!$B$23+Inputs!$B$24)+L38*((((Inputs!$B$10*Inputs!$B$15+Inputs!$B$11*Inputs!$B$16)*(1-Inputs!$B$14)+(Inputs!$B$10*Inputs!$B$17+Inputs!$B$11*Inputs!$B$18)*Inputs!$B$14)/1000000*Inputs!$B$12)*$B$11+Inputs!$B$12*Inputs!$B$13)+(L35*$D$17)*Inputs!$B$25*Inputs!$B$26+((L35*$D$17)*Inputs!$B$8*$B$13)*Inputs!$B$27*Inputs!$B$28+L36*(Inputs!$B$29+Inputs!$B$31)</f>
        <v>713.637024503428</v>
      </c>
      <c r="M39" s="21" t="n">
        <f aca="false">M37/1000*(Inputs!$B$19+Inputs!$B$20+Inputs!$B$21+Inputs!$B$22+Inputs!$B$23+Inputs!$B$24)+M38*((((Inputs!$B$10*Inputs!$B$15+Inputs!$B$11*Inputs!$B$16)*(1-Inputs!$B$14)+(Inputs!$B$10*Inputs!$B$17+Inputs!$B$11*Inputs!$B$18)*Inputs!$B$14)/1000000*Inputs!$B$12)*$B$11+Inputs!$B$12*Inputs!$B$13)+(M35*$D$17)*Inputs!$B$25*Inputs!$B$26+((M35*$D$17)*Inputs!$B$8*$B$13)*Inputs!$B$27*Inputs!$B$28+M36*(Inputs!$B$29+Inputs!$B$31)</f>
        <v>772.192011848706</v>
      </c>
    </row>
    <row r="40" customFormat="false" ht="15" hidden="false" customHeight="false" outlineLevel="0" collapsed="false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3" t="s">
        <v>120</v>
      </c>
      <c r="B41" s="21" t="n">
        <f aca="false">0</f>
        <v>0</v>
      </c>
      <c r="C41" s="21" t="n">
        <f aca="false">B44</f>
        <v>7.2</v>
      </c>
      <c r="D41" s="21" t="n">
        <f aca="false">C44</f>
        <v>14.688</v>
      </c>
      <c r="E41" s="21" t="n">
        <f aca="false">D44</f>
        <v>22.51872</v>
      </c>
      <c r="F41" s="21" t="n">
        <f aca="false">E44</f>
        <v>30.7507968</v>
      </c>
      <c r="G41" s="21" t="n">
        <f aca="false">F44</f>
        <v>39.447268992</v>
      </c>
      <c r="H41" s="21" t="n">
        <f aca="false">G44</f>
        <v>48.67610485248</v>
      </c>
      <c r="I41" s="21" t="n">
        <f aca="false">H44</f>
        <v>58.5107777613312</v>
      </c>
      <c r="J41" s="21" t="n">
        <f aca="false">I44</f>
        <v>69.0308942156513</v>
      </c>
      <c r="K41" s="21" t="n">
        <f aca="false">J44</f>
        <v>80.3228799947123</v>
      </c>
      <c r="L41" s="21" t="n">
        <f aca="false">K44</f>
        <v>92.4807305702296</v>
      </c>
      <c r="M41" s="21" t="n">
        <f aca="false">L44</f>
        <v>105.606832448736</v>
      </c>
    </row>
    <row r="42" customFormat="false" ht="15" hidden="false" customHeight="false" outlineLevel="0" collapsed="false">
      <c r="A42" s="2" t="s">
        <v>121</v>
      </c>
      <c r="B42" s="22" t="n">
        <f aca="false">B27*$C$18</f>
        <v>7.2</v>
      </c>
      <c r="C42" s="22" t="n">
        <f aca="false">C27*$C$18</f>
        <v>7.92</v>
      </c>
      <c r="D42" s="22" t="n">
        <f aca="false">D27*$C$18</f>
        <v>8.712</v>
      </c>
      <c r="E42" s="22" t="n">
        <f aca="false">E27*$C$18</f>
        <v>9.5832</v>
      </c>
      <c r="F42" s="22" t="n">
        <f aca="false">F27*$C$18</f>
        <v>10.54152</v>
      </c>
      <c r="G42" s="22" t="n">
        <f aca="false">G27*$C$18</f>
        <v>11.595672</v>
      </c>
      <c r="H42" s="22" t="n">
        <f aca="false">H27*$C$18</f>
        <v>12.7552392</v>
      </c>
      <c r="I42" s="22" t="n">
        <f aca="false">I27*$C$18</f>
        <v>14.03076312</v>
      </c>
      <c r="J42" s="22" t="n">
        <f aca="false">J27*$C$18</f>
        <v>15.433839432</v>
      </c>
      <c r="K42" s="22" t="n">
        <f aca="false">K27*$C$18</f>
        <v>16.9772233752</v>
      </c>
      <c r="L42" s="22" t="n">
        <f aca="false">L27*$C$18</f>
        <v>18.67494571272</v>
      </c>
      <c r="M42" s="22" t="n">
        <f aca="false">M27*$C$18</f>
        <v>20.542440283992</v>
      </c>
    </row>
    <row r="43" customFormat="false" ht="15" hidden="false" customHeight="false" outlineLevel="0" collapsed="false">
      <c r="A43" s="3" t="s">
        <v>122</v>
      </c>
      <c r="B43" s="21" t="n">
        <f aca="false">B41*$B$7</f>
        <v>0</v>
      </c>
      <c r="C43" s="21" t="n">
        <f aca="false">C41*$B$7</f>
        <v>0.432</v>
      </c>
      <c r="D43" s="21" t="n">
        <f aca="false">D41*$B$7</f>
        <v>0.88128</v>
      </c>
      <c r="E43" s="21" t="n">
        <f aca="false">E41*$B$7</f>
        <v>1.3511232</v>
      </c>
      <c r="F43" s="21" t="n">
        <f aca="false">F41*$B$7</f>
        <v>1.845047808</v>
      </c>
      <c r="G43" s="21" t="n">
        <f aca="false">G41*$B$7</f>
        <v>2.36683613952</v>
      </c>
      <c r="H43" s="21" t="n">
        <f aca="false">H41*$B$7</f>
        <v>2.9205662911488</v>
      </c>
      <c r="I43" s="21" t="n">
        <f aca="false">I41*$B$7</f>
        <v>3.51064666567987</v>
      </c>
      <c r="J43" s="21" t="n">
        <f aca="false">J41*$B$7</f>
        <v>4.14185365293908</v>
      </c>
      <c r="K43" s="21" t="n">
        <f aca="false">K41*$B$7</f>
        <v>4.81937279968274</v>
      </c>
      <c r="L43" s="21" t="n">
        <f aca="false">L41*$B$7</f>
        <v>5.54884383421377</v>
      </c>
      <c r="M43" s="21" t="n">
        <f aca="false">M41*$B$7</f>
        <v>6.33640994692415</v>
      </c>
    </row>
    <row r="44" customFormat="false" ht="15" hidden="false" customHeight="false" outlineLevel="0" collapsed="false">
      <c r="A44" s="2" t="s">
        <v>123</v>
      </c>
      <c r="B44" s="22" t="n">
        <f aca="false">B41+B42-B43</f>
        <v>7.2</v>
      </c>
      <c r="C44" s="22" t="n">
        <f aca="false">C41+C42-C43</f>
        <v>14.688</v>
      </c>
      <c r="D44" s="22" t="n">
        <f aca="false">D41+D42-D43</f>
        <v>22.51872</v>
      </c>
      <c r="E44" s="22" t="n">
        <f aca="false">E41+E42-E43</f>
        <v>30.7507968</v>
      </c>
      <c r="F44" s="22" t="n">
        <f aca="false">F41+F42-F43</f>
        <v>39.447268992</v>
      </c>
      <c r="G44" s="22" t="n">
        <f aca="false">G41+G42-G43</f>
        <v>48.67610485248</v>
      </c>
      <c r="H44" s="22" t="n">
        <f aca="false">H41+H42-H43</f>
        <v>58.5107777613312</v>
      </c>
      <c r="I44" s="22" t="n">
        <f aca="false">I41+I42-I43</f>
        <v>69.0308942156513</v>
      </c>
      <c r="J44" s="22" t="n">
        <f aca="false">J41+J42-J43</f>
        <v>80.3228799947123</v>
      </c>
      <c r="K44" s="22" t="n">
        <f aca="false">K41+K42-K43</f>
        <v>92.4807305702296</v>
      </c>
      <c r="L44" s="22" t="n">
        <f aca="false">L41+L42-L43</f>
        <v>105.606832448736</v>
      </c>
      <c r="M44" s="22" t="n">
        <f aca="false">M41+M42-M43</f>
        <v>119.812862785804</v>
      </c>
    </row>
    <row r="45" customFormat="false" ht="15" hidden="false" customHeight="false" outlineLevel="0" collapsed="false">
      <c r="A45" s="3" t="s">
        <v>124</v>
      </c>
      <c r="B45" s="21" t="n">
        <f aca="false">(B41+B44)/2</f>
        <v>3.6</v>
      </c>
      <c r="C45" s="21" t="n">
        <f aca="false">(C41+C44)/2</f>
        <v>10.944</v>
      </c>
      <c r="D45" s="21" t="n">
        <f aca="false">(D41+D44)/2</f>
        <v>18.60336</v>
      </c>
      <c r="E45" s="21" t="n">
        <f aca="false">(E41+E44)/2</f>
        <v>26.6347584</v>
      </c>
      <c r="F45" s="21" t="n">
        <f aca="false">(F41+F44)/2</f>
        <v>35.099032896</v>
      </c>
      <c r="G45" s="21" t="n">
        <f aca="false">(G41+G44)/2</f>
        <v>44.06168692224</v>
      </c>
      <c r="H45" s="21" t="n">
        <f aca="false">(H41+H44)/2</f>
        <v>53.5934413069056</v>
      </c>
      <c r="I45" s="21" t="n">
        <f aca="false">(I41+I44)/2</f>
        <v>63.7708359884913</v>
      </c>
      <c r="J45" s="21" t="n">
        <f aca="false">(J41+J44)/2</f>
        <v>74.6768871051818</v>
      </c>
      <c r="K45" s="21" t="n">
        <f aca="false">(K41+K44)/2</f>
        <v>86.4018052824709</v>
      </c>
      <c r="L45" s="21" t="n">
        <f aca="false">(L41+L44)/2</f>
        <v>99.0437815094827</v>
      </c>
      <c r="M45" s="21" t="n">
        <f aca="false">(M41+M44)/2</f>
        <v>112.70984761727</v>
      </c>
    </row>
    <row r="46" customFormat="false" ht="15" hidden="false" customHeight="false" outlineLevel="0" collapsed="false">
      <c r="A46" s="2" t="s">
        <v>125</v>
      </c>
      <c r="B46" s="22" t="n">
        <f aca="false">B45*$B$18</f>
        <v>32.4</v>
      </c>
      <c r="C46" s="22" t="n">
        <f aca="false">C45*$B$18</f>
        <v>98.496</v>
      </c>
      <c r="D46" s="22" t="n">
        <f aca="false">D45*$B$18</f>
        <v>167.43024</v>
      </c>
      <c r="E46" s="22" t="n">
        <f aca="false">E45*$B$18</f>
        <v>239.7128256</v>
      </c>
      <c r="F46" s="22" t="n">
        <f aca="false">F45*$B$18</f>
        <v>315.891296064</v>
      </c>
      <c r="G46" s="22" t="n">
        <f aca="false">G45*$B$18</f>
        <v>396.55518230016</v>
      </c>
      <c r="H46" s="22" t="n">
        <f aca="false">H45*$B$18</f>
        <v>482.340971762151</v>
      </c>
      <c r="I46" s="22" t="n">
        <f aca="false">I45*$B$18</f>
        <v>573.937523896422</v>
      </c>
      <c r="J46" s="22" t="n">
        <f aca="false">J45*$B$18</f>
        <v>672.091983946636</v>
      </c>
      <c r="K46" s="22" t="n">
        <f aca="false">K45*$B$18</f>
        <v>777.616247542238</v>
      </c>
      <c r="L46" s="22" t="n">
        <f aca="false">L45*$B$18</f>
        <v>891.394033585344</v>
      </c>
      <c r="M46" s="22" t="n">
        <f aca="false">M45*$B$18</f>
        <v>1014.38862855543</v>
      </c>
    </row>
    <row r="47" customFormat="false" ht="15" hidden="false" customHeight="false" outlineLevel="0" collapsed="false">
      <c r="A47" s="3" t="s">
        <v>126</v>
      </c>
      <c r="B47" s="21" t="n">
        <f aca="false">(B45*$D$18)*DAY(EOMONTH(B$25,0))*1440/$E$18*$B$12</f>
        <v>96422.4</v>
      </c>
      <c r="C47" s="21" t="n">
        <f aca="false">(C45*$D$18)*DAY(EOMONTH(C$25,0))*1440/$E$18*$B$12</f>
        <v>283668.48</v>
      </c>
      <c r="D47" s="21" t="n">
        <f aca="false">(D45*$D$18)*DAY(EOMONTH(D$25,0))*1440/$E$18*$B$12</f>
        <v>498272.39424</v>
      </c>
      <c r="E47" s="21" t="n">
        <f aca="false">(E45*$D$18)*DAY(EOMONTH(E$25,0))*1440/$E$18*$B$12</f>
        <v>713385.3689856</v>
      </c>
      <c r="F47" s="21" t="n">
        <f aca="false">(F45*$D$18)*DAY(EOMONTH(F$25,0))*1440/$E$18*$B$12</f>
        <v>849115.803820032</v>
      </c>
      <c r="G47" s="21" t="n">
        <f aca="false">(G45*$D$18)*DAY(EOMONTH(G$25,0))*1440/$E$18*$B$12</f>
        <v>1180148.22252528</v>
      </c>
      <c r="H47" s="21" t="n">
        <f aca="false">(H45*$D$18)*DAY(EOMONTH(H$25,0))*1440/$E$18*$B$12</f>
        <v>1389141.99867499</v>
      </c>
      <c r="I47" s="21" t="n">
        <f aca="false">(I45*$D$18)*DAY(EOMONTH(I$25,0))*1440/$E$18*$B$12</f>
        <v>1708038.07111575</v>
      </c>
      <c r="J47" s="21" t="n">
        <f aca="false">(J45*$D$18)*DAY(EOMONTH(J$25,0))*1440/$E$18*$B$12</f>
        <v>1935624.91376631</v>
      </c>
      <c r="K47" s="21" t="n">
        <f aca="false">(K45*$D$18)*DAY(EOMONTH(K$25,0))*1440/$E$18*$B$12</f>
        <v>2314185.9526857</v>
      </c>
      <c r="L47" s="21" t="n">
        <f aca="false">(L45*$D$18)*DAY(EOMONTH(L$25,0))*1440/$E$18*$B$12</f>
        <v>2652788.64394998</v>
      </c>
      <c r="M47" s="21" t="n">
        <f aca="false">(M45*$D$18)*DAY(EOMONTH(M$25,0))*1440/$E$18*$B$12</f>
        <v>2921439.25023963</v>
      </c>
    </row>
    <row r="48" customFormat="false" ht="15" hidden="false" customHeight="false" outlineLevel="0" collapsed="false">
      <c r="A48" s="2" t="s">
        <v>127</v>
      </c>
      <c r="B48" s="22" t="n">
        <f aca="false">(B45*$D$18)*Inputs!$B$8*$B$13*Inputs!$B$9*$F$18</f>
        <v>2.592</v>
      </c>
      <c r="C48" s="22" t="n">
        <f aca="false">(C45*$D$18)*Inputs!$B$8*$B$13*Inputs!$B$9*$F$18</f>
        <v>7.87968</v>
      </c>
      <c r="D48" s="22" t="n">
        <f aca="false">(D45*$D$18)*Inputs!$B$8*$B$13*Inputs!$B$9*$F$18</f>
        <v>13.3944192</v>
      </c>
      <c r="E48" s="22" t="n">
        <f aca="false">(E45*$D$18)*Inputs!$B$8*$B$13*Inputs!$B$9*$F$18</f>
        <v>19.177026048</v>
      </c>
      <c r="F48" s="22" t="n">
        <f aca="false">(F45*$D$18)*Inputs!$B$8*$B$13*Inputs!$B$9*$F$18</f>
        <v>25.27130368512</v>
      </c>
      <c r="G48" s="22" t="n">
        <f aca="false">(G45*$D$18)*Inputs!$B$8*$B$13*Inputs!$B$9*$F$18</f>
        <v>31.7244145840128</v>
      </c>
      <c r="H48" s="22" t="n">
        <f aca="false">(H45*$D$18)*Inputs!$B$8*$B$13*Inputs!$B$9*$F$18</f>
        <v>38.587277740972</v>
      </c>
      <c r="I48" s="22" t="n">
        <f aca="false">(I45*$D$18)*Inputs!$B$8*$B$13*Inputs!$B$9*$F$18</f>
        <v>45.9150019117137</v>
      </c>
      <c r="J48" s="22" t="n">
        <f aca="false">(J45*$D$18)*Inputs!$B$8*$B$13*Inputs!$B$9*$F$18</f>
        <v>53.7673587157309</v>
      </c>
      <c r="K48" s="22" t="n">
        <f aca="false">(K45*$D$18)*Inputs!$B$8*$B$13*Inputs!$B$9*$F$18</f>
        <v>62.2092998033791</v>
      </c>
      <c r="L48" s="22" t="n">
        <f aca="false">(L45*$D$18)*Inputs!$B$8*$B$13*Inputs!$B$9*$F$18</f>
        <v>71.3115226868275</v>
      </c>
      <c r="M48" s="22" t="n">
        <f aca="false">(M45*$D$18)*Inputs!$B$8*$B$13*Inputs!$B$9*$F$18</f>
        <v>81.1510902844342</v>
      </c>
    </row>
    <row r="49" customFormat="false" ht="15" hidden="false" customHeight="false" outlineLevel="0" collapsed="false">
      <c r="A49" s="3" t="s">
        <v>128</v>
      </c>
      <c r="B49" s="21" t="n">
        <f aca="false">B47/1000*(Inputs!$B$19+Inputs!$B$20+Inputs!$B$21+Inputs!$B$22+Inputs!$B$23+Inputs!$B$24)+B48*((((Inputs!$B$10*Inputs!$B$15+Inputs!$B$11*Inputs!$B$16)*(1-Inputs!$B$14)+(Inputs!$B$10*Inputs!$B$17+Inputs!$B$11*Inputs!$B$18)*Inputs!$B$14)/1000000*Inputs!$B$12)*$B$11+Inputs!$B$12*Inputs!$B$13)+(B45*$D$18)*Inputs!$B$25*Inputs!$B$26+((B45*$D$18)*Inputs!$B$8*$B$13)*Inputs!$B$27*Inputs!$B$28+B46*(Inputs!$B$29+Inputs!$B$31)+B44*Inputs!$B$30+B45*Inputs!$B$32</f>
        <v>21.59479296</v>
      </c>
      <c r="C49" s="21" t="n">
        <f aca="false">C47/1000*(Inputs!$B$19+Inputs!$B$20+Inputs!$B$21+Inputs!$B$22+Inputs!$B$23+Inputs!$B$24)+C48*((((Inputs!$B$10*Inputs!$B$15+Inputs!$B$11*Inputs!$B$16)*(1-Inputs!$B$14)+(Inputs!$B$10*Inputs!$B$17+Inputs!$B$11*Inputs!$B$18)*Inputs!$B$14)/1000000*Inputs!$B$12)*$B$11+Inputs!$B$12*Inputs!$B$13)+(C45*$D$18)*Inputs!$B$25*Inputs!$B$26+((C45*$D$18)*Inputs!$B$8*$B$13)*Inputs!$B$27*Inputs!$B$28+C46*(Inputs!$B$29+Inputs!$B$31)+C44*Inputs!$B$30+C45*Inputs!$B$32</f>
        <v>61.8807158784</v>
      </c>
      <c r="D49" s="21" t="n">
        <f aca="false">D47/1000*(Inputs!$B$19+Inputs!$B$20+Inputs!$B$21+Inputs!$B$22+Inputs!$B$23+Inputs!$B$24)+D48*((((Inputs!$B$10*Inputs!$B$15+Inputs!$B$11*Inputs!$B$16)*(1-Inputs!$B$14)+(Inputs!$B$10*Inputs!$B$17+Inputs!$B$11*Inputs!$B$18)*Inputs!$B$14)/1000000*Inputs!$B$12)*$B$11+Inputs!$B$12*Inputs!$B$13)+(D45*$D$18)*Inputs!$B$25*Inputs!$B$26+((D45*$D$18)*Inputs!$B$8*$B$13)*Inputs!$B$27*Inputs!$B$28+D46*(Inputs!$B$29+Inputs!$B$31)+D44*Inputs!$B$30+D45*Inputs!$B$32</f>
        <v>107.186852100096</v>
      </c>
      <c r="E49" s="21" t="n">
        <f aca="false">E47/1000*(Inputs!$B$19+Inputs!$B$20+Inputs!$B$21+Inputs!$B$22+Inputs!$B$23+Inputs!$B$24)+E48*((((Inputs!$B$10*Inputs!$B$15+Inputs!$B$11*Inputs!$B$16)*(1-Inputs!$B$14)+(Inputs!$B$10*Inputs!$B$17+Inputs!$B$11*Inputs!$B$18)*Inputs!$B$14)/1000000*Inputs!$B$12)*$B$11+Inputs!$B$12*Inputs!$B$13)+(E45*$D$18)*Inputs!$B$25*Inputs!$B$26+((E45*$D$18)*Inputs!$B$8*$B$13)*Inputs!$B$27*Inputs!$B$28+E46*(Inputs!$B$29+Inputs!$B$31)+E44*Inputs!$B$30+E45*Inputs!$B$32</f>
        <v>153.01440988545</v>
      </c>
      <c r="F49" s="21" t="n">
        <f aca="false">F47/1000*(Inputs!$B$19+Inputs!$B$20+Inputs!$B$21+Inputs!$B$22+Inputs!$B$23+Inputs!$B$24)+F48*((((Inputs!$B$10*Inputs!$B$15+Inputs!$B$11*Inputs!$B$16)*(1-Inputs!$B$14)+(Inputs!$B$10*Inputs!$B$17+Inputs!$B$11*Inputs!$B$18)*Inputs!$B$14)/1000000*Inputs!$B$12)*$B$11+Inputs!$B$12*Inputs!$B$13)+(F45*$D$18)*Inputs!$B$25*Inputs!$B$26+((F45*$D$18)*Inputs!$B$8*$B$13)*Inputs!$B$27*Inputs!$B$28+F46*(Inputs!$B$29+Inputs!$B$31)+F44*Inputs!$B$30+F45*Inputs!$B$32</f>
        <v>185.852153239526</v>
      </c>
      <c r="G49" s="21" t="n">
        <f aca="false">G47/1000*(Inputs!$B$19+Inputs!$B$20+Inputs!$B$21+Inputs!$B$22+Inputs!$B$23+Inputs!$B$24)+G48*((((Inputs!$B$10*Inputs!$B$15+Inputs!$B$11*Inputs!$B$16)*(1-Inputs!$B$14)+(Inputs!$B$10*Inputs!$B$17+Inputs!$B$11*Inputs!$B$18)*Inputs!$B$14)/1000000*Inputs!$B$12)*$B$11+Inputs!$B$12*Inputs!$B$13)+(G45*$D$18)*Inputs!$B$25*Inputs!$B$26+((G45*$D$18)*Inputs!$B$8*$B$13)*Inputs!$B$27*Inputs!$B$28+G46*(Inputs!$B$29+Inputs!$B$31)+G44*Inputs!$B$30+G45*Inputs!$B$32</f>
        <v>252.472210011876</v>
      </c>
      <c r="H49" s="21" t="n">
        <f aca="false">H47/1000*(Inputs!$B$19+Inputs!$B$20+Inputs!$B$21+Inputs!$B$22+Inputs!$B$23+Inputs!$B$24)+H48*((((Inputs!$B$10*Inputs!$B$15+Inputs!$B$11*Inputs!$B$16)*(1-Inputs!$B$14)+(Inputs!$B$10*Inputs!$B$17+Inputs!$B$11*Inputs!$B$18)*Inputs!$B$14)/1000000*Inputs!$B$12)*$B$11+Inputs!$B$12*Inputs!$B$13)+(H45*$D$18)*Inputs!$B$25*Inputs!$B$26+((H45*$D$18)*Inputs!$B$8*$B$13)*Inputs!$B$27*Inputs!$B$28+H46*(Inputs!$B$29+Inputs!$B$31)+H44*Inputs!$B$30+H45*Inputs!$B$32</f>
        <v>299.008494173025</v>
      </c>
      <c r="I49" s="21" t="n">
        <f aca="false">I47/1000*(Inputs!$B$19+Inputs!$B$20+Inputs!$B$21+Inputs!$B$22+Inputs!$B$23+Inputs!$B$24)+I48*((((Inputs!$B$10*Inputs!$B$15+Inputs!$B$11*Inputs!$B$16)*(1-Inputs!$B$14)+(Inputs!$B$10*Inputs!$B$17+Inputs!$B$11*Inputs!$B$18)*Inputs!$B$14)/1000000*Inputs!$B$12)*$B$11+Inputs!$B$12*Inputs!$B$13)+(I45*$D$18)*Inputs!$B$25*Inputs!$B$26+((I45*$D$18)*Inputs!$B$8*$B$13)*Inputs!$B$27*Inputs!$B$28+I46*(Inputs!$B$29+Inputs!$B$31)+I44*Inputs!$B$30+I45*Inputs!$B$32</f>
        <v>364.979544465375</v>
      </c>
      <c r="J49" s="21" t="n">
        <f aca="false">J47/1000*(Inputs!$B$19+Inputs!$B$20+Inputs!$B$21+Inputs!$B$22+Inputs!$B$23+Inputs!$B$24)+J48*((((Inputs!$B$10*Inputs!$B$15+Inputs!$B$11*Inputs!$B$16)*(1-Inputs!$B$14)+(Inputs!$B$10*Inputs!$B$17+Inputs!$B$11*Inputs!$B$18)*Inputs!$B$14)/1000000*Inputs!$B$12)*$B$11+Inputs!$B$12*Inputs!$B$13)+(J45*$D$18)*Inputs!$B$25*Inputs!$B$26+((J45*$D$18)*Inputs!$B$8*$B$13)*Inputs!$B$27*Inputs!$B$28+J46*(Inputs!$B$29+Inputs!$B$31)+J44*Inputs!$B$30+J45*Inputs!$B$32</f>
        <v>416.275500538878</v>
      </c>
      <c r="K49" s="21" t="n">
        <f aca="false">K47/1000*(Inputs!$B$19+Inputs!$B$20+Inputs!$B$21+Inputs!$B$22+Inputs!$B$23+Inputs!$B$24)+K48*((((Inputs!$B$10*Inputs!$B$15+Inputs!$B$11*Inputs!$B$16)*(1-Inputs!$B$14)+(Inputs!$B$10*Inputs!$B$17+Inputs!$B$11*Inputs!$B$18)*Inputs!$B$14)/1000000*Inputs!$B$12)*$B$11+Inputs!$B$12*Inputs!$B$13)+(K45*$D$18)*Inputs!$B$25*Inputs!$B$26+((K45*$D$18)*Inputs!$B$8*$B$13)*Inputs!$B$27*Inputs!$B$28+K46*(Inputs!$B$29+Inputs!$B$31)+K44*Inputs!$B$30+K45*Inputs!$B$32</f>
        <v>494.188996125251</v>
      </c>
      <c r="L49" s="21" t="n">
        <f aca="false">L47/1000*(Inputs!$B$19+Inputs!$B$20+Inputs!$B$21+Inputs!$B$22+Inputs!$B$23+Inputs!$B$24)+L48*((((Inputs!$B$10*Inputs!$B$15+Inputs!$B$11*Inputs!$B$16)*(1-Inputs!$B$14)+(Inputs!$B$10*Inputs!$B$17+Inputs!$B$11*Inputs!$B$18)*Inputs!$B$14)/1000000*Inputs!$B$12)*$B$11+Inputs!$B$12*Inputs!$B$13)+(L45*$D$18)*Inputs!$B$25*Inputs!$B$26+((L45*$D$18)*Inputs!$B$8*$B$13)*Inputs!$B$27*Inputs!$B$28+L46*(Inputs!$B$29+Inputs!$B$31)+L44*Inputs!$B$30+L45*Inputs!$B$32</f>
        <v>566.375212960252</v>
      </c>
      <c r="M49" s="21" t="n">
        <f aca="false">M47/1000*(Inputs!$B$19+Inputs!$B$20+Inputs!$B$21+Inputs!$B$22+Inputs!$B$23+Inputs!$B$24)+M48*((((Inputs!$B$10*Inputs!$B$15+Inputs!$B$11*Inputs!$B$16)*(1-Inputs!$B$14)+(Inputs!$B$10*Inputs!$B$17+Inputs!$B$11*Inputs!$B$18)*Inputs!$B$14)/1000000*Inputs!$B$12)*$B$11+Inputs!$B$12*Inputs!$B$13)+(M45*$D$18)*Inputs!$B$25*Inputs!$B$26+((M45*$D$18)*Inputs!$B$8*$B$13)*Inputs!$B$27*Inputs!$B$28+M46*(Inputs!$B$29+Inputs!$B$31)+M44*Inputs!$B$30+M45*Inputs!$B$32</f>
        <v>627.85919002738</v>
      </c>
    </row>
    <row r="50" customFormat="false" ht="15" hidden="false" customHeight="false" outlineLevel="0" collapsed="false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3" t="s">
        <v>129</v>
      </c>
      <c r="B51" s="21" t="n">
        <f aca="false">0</f>
        <v>0</v>
      </c>
      <c r="C51" s="21" t="n">
        <f aca="false">B54</f>
        <v>3.6</v>
      </c>
      <c r="D51" s="21" t="n">
        <f aca="false">C54</f>
        <v>7.344</v>
      </c>
      <c r="E51" s="21" t="n">
        <f aca="false">D54</f>
        <v>11.25936</v>
      </c>
      <c r="F51" s="21" t="n">
        <f aca="false">E54</f>
        <v>15.3753984</v>
      </c>
      <c r="G51" s="21" t="n">
        <f aca="false">F54</f>
        <v>19.723634496</v>
      </c>
      <c r="H51" s="21" t="n">
        <f aca="false">G54</f>
        <v>24.33805242624</v>
      </c>
      <c r="I51" s="21" t="n">
        <f aca="false">H54</f>
        <v>29.2553888806656</v>
      </c>
      <c r="J51" s="21" t="n">
        <f aca="false">I54</f>
        <v>34.5154471078257</v>
      </c>
      <c r="K51" s="21" t="n">
        <f aca="false">J54</f>
        <v>40.1614399973561</v>
      </c>
      <c r="L51" s="21" t="n">
        <f aca="false">K54</f>
        <v>46.2403652851148</v>
      </c>
      <c r="M51" s="21" t="n">
        <f aca="false">L54</f>
        <v>52.8034162243679</v>
      </c>
    </row>
    <row r="52" customFormat="false" ht="15" hidden="false" customHeight="false" outlineLevel="0" collapsed="false">
      <c r="A52" s="2" t="s">
        <v>130</v>
      </c>
      <c r="B52" s="22" t="n">
        <f aca="false">B27*$C$19</f>
        <v>3.6</v>
      </c>
      <c r="C52" s="22" t="n">
        <f aca="false">C27*$C$19</f>
        <v>3.96</v>
      </c>
      <c r="D52" s="22" t="n">
        <f aca="false">D27*$C$19</f>
        <v>4.356</v>
      </c>
      <c r="E52" s="22" t="n">
        <f aca="false">E27*$C$19</f>
        <v>4.7916</v>
      </c>
      <c r="F52" s="22" t="n">
        <f aca="false">F27*$C$19</f>
        <v>5.27076</v>
      </c>
      <c r="G52" s="22" t="n">
        <f aca="false">G27*$C$19</f>
        <v>5.797836</v>
      </c>
      <c r="H52" s="22" t="n">
        <f aca="false">H27*$C$19</f>
        <v>6.3776196</v>
      </c>
      <c r="I52" s="22" t="n">
        <f aca="false">I27*$C$19</f>
        <v>7.01538156</v>
      </c>
      <c r="J52" s="22" t="n">
        <f aca="false">J27*$C$19</f>
        <v>7.716919716</v>
      </c>
      <c r="K52" s="22" t="n">
        <f aca="false">K27*$C$19</f>
        <v>8.4886116876</v>
      </c>
      <c r="L52" s="22" t="n">
        <f aca="false">L27*$C$19</f>
        <v>9.33747285636001</v>
      </c>
      <c r="M52" s="22" t="n">
        <f aca="false">M27*$C$19</f>
        <v>10.271220141996</v>
      </c>
    </row>
    <row r="53" customFormat="false" ht="15" hidden="false" customHeight="false" outlineLevel="0" collapsed="false">
      <c r="A53" s="3" t="s">
        <v>131</v>
      </c>
      <c r="B53" s="21" t="n">
        <f aca="false">B51*$B$7</f>
        <v>0</v>
      </c>
      <c r="C53" s="21" t="n">
        <f aca="false">C51*$B$7</f>
        <v>0.216</v>
      </c>
      <c r="D53" s="21" t="n">
        <f aca="false">D51*$B$7</f>
        <v>0.44064</v>
      </c>
      <c r="E53" s="21" t="n">
        <f aca="false">E51*$B$7</f>
        <v>0.6755616</v>
      </c>
      <c r="F53" s="21" t="n">
        <f aca="false">F51*$B$7</f>
        <v>0.922523904</v>
      </c>
      <c r="G53" s="21" t="n">
        <f aca="false">G51*$B$7</f>
        <v>1.18341806976</v>
      </c>
      <c r="H53" s="21" t="n">
        <f aca="false">H51*$B$7</f>
        <v>1.4602831455744</v>
      </c>
      <c r="I53" s="21" t="n">
        <f aca="false">I51*$B$7</f>
        <v>1.75532333283994</v>
      </c>
      <c r="J53" s="21" t="n">
        <f aca="false">J51*$B$7</f>
        <v>2.07092682646954</v>
      </c>
      <c r="K53" s="21" t="n">
        <f aca="false">K51*$B$7</f>
        <v>2.40968639984137</v>
      </c>
      <c r="L53" s="21" t="n">
        <f aca="false">L51*$B$7</f>
        <v>2.77442191710689</v>
      </c>
      <c r="M53" s="21" t="n">
        <f aca="false">M51*$B$7</f>
        <v>3.16820497346207</v>
      </c>
    </row>
    <row r="54" customFormat="false" ht="15" hidden="false" customHeight="false" outlineLevel="0" collapsed="false">
      <c r="A54" s="2" t="s">
        <v>132</v>
      </c>
      <c r="B54" s="22" t="n">
        <f aca="false">B51+B52-B53</f>
        <v>3.6</v>
      </c>
      <c r="C54" s="22" t="n">
        <f aca="false">C51+C52-C53</f>
        <v>7.344</v>
      </c>
      <c r="D54" s="22" t="n">
        <f aca="false">D51+D52-D53</f>
        <v>11.25936</v>
      </c>
      <c r="E54" s="22" t="n">
        <f aca="false">E51+E52-E53</f>
        <v>15.3753984</v>
      </c>
      <c r="F54" s="22" t="n">
        <f aca="false">F51+F52-F53</f>
        <v>19.723634496</v>
      </c>
      <c r="G54" s="22" t="n">
        <f aca="false">G51+G52-G53</f>
        <v>24.33805242624</v>
      </c>
      <c r="H54" s="22" t="n">
        <f aca="false">H51+H52-H53</f>
        <v>29.2553888806656</v>
      </c>
      <c r="I54" s="22" t="n">
        <f aca="false">I51+I52-I53</f>
        <v>34.5154471078257</v>
      </c>
      <c r="J54" s="22" t="n">
        <f aca="false">J51+J52-J53</f>
        <v>40.1614399973561</v>
      </c>
      <c r="K54" s="22" t="n">
        <f aca="false">K51+K52-K53</f>
        <v>46.2403652851148</v>
      </c>
      <c r="L54" s="22" t="n">
        <f aca="false">L51+L52-L53</f>
        <v>52.8034162243679</v>
      </c>
      <c r="M54" s="22" t="n">
        <f aca="false">M51+M52-M53</f>
        <v>59.9064313929018</v>
      </c>
    </row>
    <row r="55" customFormat="false" ht="15" hidden="false" customHeight="false" outlineLevel="0" collapsed="false">
      <c r="A55" s="3" t="s">
        <v>133</v>
      </c>
      <c r="B55" s="21" t="n">
        <f aca="false">(B51+B54)/2</f>
        <v>1.8</v>
      </c>
      <c r="C55" s="21" t="n">
        <f aca="false">(C51+C54)/2</f>
        <v>5.472</v>
      </c>
      <c r="D55" s="21" t="n">
        <f aca="false">(D51+D54)/2</f>
        <v>9.30168</v>
      </c>
      <c r="E55" s="21" t="n">
        <f aca="false">(E51+E54)/2</f>
        <v>13.3173792</v>
      </c>
      <c r="F55" s="21" t="n">
        <f aca="false">(F51+F54)/2</f>
        <v>17.549516448</v>
      </c>
      <c r="G55" s="21" t="n">
        <f aca="false">(G51+G54)/2</f>
        <v>22.03084346112</v>
      </c>
      <c r="H55" s="21" t="n">
        <f aca="false">(H51+H54)/2</f>
        <v>26.7967206534528</v>
      </c>
      <c r="I55" s="21" t="n">
        <f aca="false">(I51+I54)/2</f>
        <v>31.8854179942456</v>
      </c>
      <c r="J55" s="21" t="n">
        <f aca="false">(J51+J54)/2</f>
        <v>37.3384435525909</v>
      </c>
      <c r="K55" s="21" t="n">
        <f aca="false">(K51+K54)/2</f>
        <v>43.2009026412355</v>
      </c>
      <c r="L55" s="21" t="n">
        <f aca="false">(L51+L54)/2</f>
        <v>49.5218907547413</v>
      </c>
      <c r="M55" s="21" t="n">
        <f aca="false">(M51+M54)/2</f>
        <v>56.3549238086349</v>
      </c>
    </row>
    <row r="56" customFormat="false" ht="15" hidden="false" customHeight="false" outlineLevel="0" collapsed="false">
      <c r="A56" s="2" t="s">
        <v>134</v>
      </c>
      <c r="B56" s="22" t="n">
        <f aca="false">B55*$B$19</f>
        <v>52.2</v>
      </c>
      <c r="C56" s="22" t="n">
        <f aca="false">C55*$B$19</f>
        <v>158.688</v>
      </c>
      <c r="D56" s="22" t="n">
        <f aca="false">D55*$B$19</f>
        <v>269.74872</v>
      </c>
      <c r="E56" s="22" t="n">
        <f aca="false">E55*$B$19</f>
        <v>386.2039968</v>
      </c>
      <c r="F56" s="22" t="n">
        <f aca="false">F55*$B$19</f>
        <v>508.935976992</v>
      </c>
      <c r="G56" s="22" t="n">
        <f aca="false">G55*$B$19</f>
        <v>638.89446037248</v>
      </c>
      <c r="H56" s="22" t="n">
        <f aca="false">H55*$B$19</f>
        <v>777.104898950131</v>
      </c>
      <c r="I56" s="22" t="n">
        <f aca="false">I55*$B$19</f>
        <v>924.677121833124</v>
      </c>
      <c r="J56" s="22" t="n">
        <f aca="false">J55*$B$19</f>
        <v>1082.81486302514</v>
      </c>
      <c r="K56" s="22" t="n">
        <f aca="false">K55*$B$19</f>
        <v>1252.82617659583</v>
      </c>
      <c r="L56" s="22" t="n">
        <f aca="false">L55*$B$19</f>
        <v>1436.1348318875</v>
      </c>
      <c r="M56" s="22" t="n">
        <f aca="false">M55*$B$19</f>
        <v>1634.29279045041</v>
      </c>
    </row>
    <row r="57" customFormat="false" ht="15" hidden="false" customHeight="false" outlineLevel="0" collapsed="false">
      <c r="A57" s="3" t="s">
        <v>135</v>
      </c>
      <c r="B57" s="21" t="n">
        <f aca="false">(B55*$D$19)*DAY(EOMONTH(B$25,0))*1440/$E$19*$B$12</f>
        <v>160704</v>
      </c>
      <c r="C57" s="21" t="n">
        <f aca="false">(C55*$D$19)*DAY(EOMONTH(C$25,0))*1440/$E$19*$B$12</f>
        <v>472780.8</v>
      </c>
      <c r="D57" s="21" t="n">
        <f aca="false">(D55*$D$19)*DAY(EOMONTH(D$25,0))*1440/$E$19*$B$12</f>
        <v>830453.9904</v>
      </c>
      <c r="E57" s="21" t="n">
        <f aca="false">(E55*$D$19)*DAY(EOMONTH(E$25,0))*1440/$E$19*$B$12</f>
        <v>1188975.614976</v>
      </c>
      <c r="F57" s="21" t="n">
        <f aca="false">(F55*$D$19)*DAY(EOMONTH(F$25,0))*1440/$E$19*$B$12</f>
        <v>1415193.00636672</v>
      </c>
      <c r="G57" s="21" t="n">
        <f aca="false">(G55*$D$19)*DAY(EOMONTH(G$25,0))*1440/$E$19*$B$12</f>
        <v>1966913.70420879</v>
      </c>
      <c r="H57" s="21" t="n">
        <f aca="false">(H55*$D$19)*DAY(EOMONTH(H$25,0))*1440/$E$19*$B$12</f>
        <v>2315236.66445832</v>
      </c>
      <c r="I57" s="21" t="n">
        <f aca="false">(I55*$D$19)*DAY(EOMONTH(I$25,0))*1440/$E$19*$B$12</f>
        <v>2846730.11852625</v>
      </c>
      <c r="J57" s="21" t="n">
        <f aca="false">(J55*$D$19)*DAY(EOMONTH(J$25,0))*1440/$E$19*$B$12</f>
        <v>3226041.52294385</v>
      </c>
      <c r="K57" s="21" t="n">
        <f aca="false">(K55*$D$19)*DAY(EOMONTH(K$25,0))*1440/$E$19*$B$12</f>
        <v>3856976.5878095</v>
      </c>
      <c r="L57" s="21" t="n">
        <f aca="false">(L55*$D$19)*DAY(EOMONTH(L$25,0))*1440/$E$19*$B$12</f>
        <v>4421314.40658331</v>
      </c>
      <c r="M57" s="21" t="n">
        <f aca="false">(M55*$D$19)*DAY(EOMONTH(M$25,0))*1440/$E$19*$B$12</f>
        <v>4869065.41706605</v>
      </c>
    </row>
    <row r="58" customFormat="false" ht="15" hidden="false" customHeight="false" outlineLevel="0" collapsed="false">
      <c r="A58" s="2" t="s">
        <v>136</v>
      </c>
      <c r="B58" s="22" t="n">
        <f aca="false">(B55*$D$19)*Inputs!$B$8*$B$13*Inputs!$B$9*$F$19</f>
        <v>4.32</v>
      </c>
      <c r="C58" s="22" t="n">
        <f aca="false">(C55*$D$19)*Inputs!$B$8*$B$13*Inputs!$B$9*$F$19</f>
        <v>13.1328</v>
      </c>
      <c r="D58" s="22" t="n">
        <f aca="false">(D55*$D$19)*Inputs!$B$8*$B$13*Inputs!$B$9*$F$19</f>
        <v>22.324032</v>
      </c>
      <c r="E58" s="22" t="n">
        <f aca="false">(E55*$D$19)*Inputs!$B$8*$B$13*Inputs!$B$9*$F$19</f>
        <v>31.96171008</v>
      </c>
      <c r="F58" s="22" t="n">
        <f aca="false">(F55*$D$19)*Inputs!$B$8*$B$13*Inputs!$B$9*$F$19</f>
        <v>42.1188394752</v>
      </c>
      <c r="G58" s="22" t="n">
        <f aca="false">(G55*$D$19)*Inputs!$B$8*$B$13*Inputs!$B$9*$F$19</f>
        <v>52.874024306688</v>
      </c>
      <c r="H58" s="22" t="n">
        <f aca="false">(H55*$D$19)*Inputs!$B$8*$B$13*Inputs!$B$9*$F$19</f>
        <v>64.3121295682867</v>
      </c>
      <c r="I58" s="22" t="n">
        <f aca="false">(I55*$D$19)*Inputs!$B$8*$B$13*Inputs!$B$9*$F$19</f>
        <v>76.5250031861895</v>
      </c>
      <c r="J58" s="22" t="n">
        <f aca="false">(J55*$D$19)*Inputs!$B$8*$B$13*Inputs!$B$9*$F$19</f>
        <v>89.6122645262182</v>
      </c>
      <c r="K58" s="22" t="n">
        <f aca="false">(K55*$D$19)*Inputs!$B$8*$B$13*Inputs!$B$9*$F$19</f>
        <v>103.682166338965</v>
      </c>
      <c r="L58" s="22" t="n">
        <f aca="false">(L55*$D$19)*Inputs!$B$8*$B$13*Inputs!$B$9*$F$19</f>
        <v>118.852537811379</v>
      </c>
      <c r="M58" s="22" t="n">
        <f aca="false">(M55*$D$19)*Inputs!$B$8*$B$13*Inputs!$B$9*$F$19</f>
        <v>135.251817140724</v>
      </c>
    </row>
    <row r="59" customFormat="false" ht="15" hidden="false" customHeight="false" outlineLevel="0" collapsed="false">
      <c r="A59" s="3" t="s">
        <v>137</v>
      </c>
      <c r="B59" s="21" t="n">
        <f aca="false">B57/1000*(Inputs!$B$19+Inputs!$B$20+Inputs!$B$21+Inputs!$B$22+Inputs!$B$23+Inputs!$B$24)+B58*((((Inputs!$B$10*Inputs!$B$15+Inputs!$B$11*Inputs!$B$16)*(1-Inputs!$B$14)+(Inputs!$B$10*Inputs!$B$17+Inputs!$B$11*Inputs!$B$18)*Inputs!$B$14)/1000000*Inputs!$B$12)*$B$11+Inputs!$B$12*Inputs!$B$13)+(B55*$D$19)*Inputs!$B$25*Inputs!$B$26+((B55*$D$19)*Inputs!$B$8*$B$13)*Inputs!$B$27*Inputs!$B$28+B56*(Inputs!$B$29+Inputs!$B$31)+B54*Inputs!$B$30+B55*Inputs!$B$32</f>
        <v>31.3065216</v>
      </c>
      <c r="C59" s="21" t="n">
        <f aca="false">C57/1000*(Inputs!$B$19+Inputs!$B$20+Inputs!$B$21+Inputs!$B$22+Inputs!$B$23+Inputs!$B$24)+C58*((((Inputs!$B$10*Inputs!$B$15+Inputs!$B$11*Inputs!$B$16)*(1-Inputs!$B$14)+(Inputs!$B$10*Inputs!$B$17+Inputs!$B$11*Inputs!$B$18)*Inputs!$B$14)/1000000*Inputs!$B$12)*$B$11+Inputs!$B$12*Inputs!$B$13)+(C55*$D$19)*Inputs!$B$25*Inputs!$B$26+((C55*$D$19)*Inputs!$B$8*$B$13)*Inputs!$B$27*Inputs!$B$28+C56*(Inputs!$B$29+Inputs!$B$31)+C54*Inputs!$B$30+C55*Inputs!$B$32</f>
        <v>91.412734464</v>
      </c>
      <c r="D59" s="21" t="n">
        <f aca="false">D57/1000*(Inputs!$B$19+Inputs!$B$20+Inputs!$B$21+Inputs!$B$22+Inputs!$B$23+Inputs!$B$24)+D58*((((Inputs!$B$10*Inputs!$B$15+Inputs!$B$11*Inputs!$B$16)*(1-Inputs!$B$14)+(Inputs!$B$10*Inputs!$B$17+Inputs!$B$11*Inputs!$B$18)*Inputs!$B$14)/1000000*Inputs!$B$12)*$B$11+Inputs!$B$12*Inputs!$B$13)+(D55*$D$19)*Inputs!$B$25*Inputs!$B$26+((D55*$D$19)*Inputs!$B$8*$B$13)*Inputs!$B$27*Inputs!$B$28+D56*(Inputs!$B$29+Inputs!$B$31)+D54*Inputs!$B$30+D55*Inputs!$B$32</f>
        <v>159.57638102016</v>
      </c>
      <c r="E59" s="21" t="n">
        <f aca="false">E57/1000*(Inputs!$B$19+Inputs!$B$20+Inputs!$B$21+Inputs!$B$22+Inputs!$B$23+Inputs!$B$24)+E58*((((Inputs!$B$10*Inputs!$B$15+Inputs!$B$11*Inputs!$B$16)*(1-Inputs!$B$14)+(Inputs!$B$10*Inputs!$B$17+Inputs!$B$11*Inputs!$B$18)*Inputs!$B$14)/1000000*Inputs!$B$12)*$B$11+Inputs!$B$12*Inputs!$B$13)+(E55*$D$19)*Inputs!$B$25*Inputs!$B$26+((E55*$D$19)*Inputs!$B$8*$B$13)*Inputs!$B$27*Inputs!$B$28+E56*(Inputs!$B$29+Inputs!$B$31)+E54*Inputs!$B$30+E55*Inputs!$B$32</f>
        <v>228.24486954455</v>
      </c>
      <c r="F59" s="21" t="n">
        <f aca="false">F57/1000*(Inputs!$B$19+Inputs!$B$20+Inputs!$B$21+Inputs!$B$22+Inputs!$B$23+Inputs!$B$24)+F58*((((Inputs!$B$10*Inputs!$B$15+Inputs!$B$11*Inputs!$B$16)*(1-Inputs!$B$14)+(Inputs!$B$10*Inputs!$B$17+Inputs!$B$11*Inputs!$B$18)*Inputs!$B$14)/1000000*Inputs!$B$12)*$B$11+Inputs!$B$12*Inputs!$B$13)+(F55*$D$19)*Inputs!$B$25*Inputs!$B$26+((F55*$D$19)*Inputs!$B$8*$B$13)*Inputs!$B$27*Inputs!$B$28+F56*(Inputs!$B$29+Inputs!$B$31)+F54*Inputs!$B$30+F55*Inputs!$B$32</f>
        <v>274.840826137215</v>
      </c>
      <c r="G59" s="21" t="n">
        <f aca="false">G57/1000*(Inputs!$B$19+Inputs!$B$20+Inputs!$B$21+Inputs!$B$22+Inputs!$B$23+Inputs!$B$24)+G58*((((Inputs!$B$10*Inputs!$B$15+Inputs!$B$11*Inputs!$B$16)*(1-Inputs!$B$14)+(Inputs!$B$10*Inputs!$B$17+Inputs!$B$11*Inputs!$B$18)*Inputs!$B$14)/1000000*Inputs!$B$12)*$B$11+Inputs!$B$12*Inputs!$B$13)+(G55*$D$19)*Inputs!$B$25*Inputs!$B$26+((G55*$D$19)*Inputs!$B$8*$B$13)*Inputs!$B$27*Inputs!$B$28+G56*(Inputs!$B$29+Inputs!$B$31)+G54*Inputs!$B$30+G55*Inputs!$B$32</f>
        <v>377.254618918851</v>
      </c>
      <c r="H59" s="21" t="n">
        <f aca="false">H57/1000*(Inputs!$B$19+Inputs!$B$20+Inputs!$B$21+Inputs!$B$22+Inputs!$B$23+Inputs!$B$24)+H58*((((Inputs!$B$10*Inputs!$B$15+Inputs!$B$11*Inputs!$B$16)*(1-Inputs!$B$14)+(Inputs!$B$10*Inputs!$B$17+Inputs!$B$11*Inputs!$B$18)*Inputs!$B$14)/1000000*Inputs!$B$12)*$B$11+Inputs!$B$12*Inputs!$B$13)+(H55*$D$19)*Inputs!$B$25*Inputs!$B$26+((H55*$D$19)*Inputs!$B$8*$B$13)*Inputs!$B$27*Inputs!$B$28+H56*(Inputs!$B$29+Inputs!$B$31)+H54*Inputs!$B$30+H55*Inputs!$B$32</f>
        <v>445.641195366023</v>
      </c>
      <c r="I59" s="21" t="n">
        <f aca="false">I57/1000*(Inputs!$B$19+Inputs!$B$20+Inputs!$B$21+Inputs!$B$22+Inputs!$B$23+Inputs!$B$24)+I58*((((Inputs!$B$10*Inputs!$B$15+Inputs!$B$11*Inputs!$B$16)*(1-Inputs!$B$14)+(Inputs!$B$10*Inputs!$B$17+Inputs!$B$11*Inputs!$B$18)*Inputs!$B$14)/1000000*Inputs!$B$12)*$B$11+Inputs!$B$12*Inputs!$B$13)+(I55*$D$19)*Inputs!$B$25*Inputs!$B$26+((I55*$D$19)*Inputs!$B$8*$B$13)*Inputs!$B$27*Inputs!$B$28+I56*(Inputs!$B$29+Inputs!$B$31)+I54*Inputs!$B$30+I55*Inputs!$B$32</f>
        <v>545.790898425734</v>
      </c>
      <c r="J59" s="21" t="n">
        <f aca="false">J57/1000*(Inputs!$B$19+Inputs!$B$20+Inputs!$B$21+Inputs!$B$22+Inputs!$B$23+Inputs!$B$24)+J58*((((Inputs!$B$10*Inputs!$B$15+Inputs!$B$11*Inputs!$B$16)*(1-Inputs!$B$14)+(Inputs!$B$10*Inputs!$B$17+Inputs!$B$11*Inputs!$B$18)*Inputs!$B$14)/1000000*Inputs!$B$12)*$B$11+Inputs!$B$12*Inputs!$B$13)+(J55*$D$19)*Inputs!$B$25*Inputs!$B$26+((J55*$D$19)*Inputs!$B$8*$B$13)*Inputs!$B$27*Inputs!$B$28+J56*(Inputs!$B$29+Inputs!$B$31)+J54*Inputs!$B$30+J55*Inputs!$B$32</f>
        <v>620.773791454064</v>
      </c>
      <c r="K59" s="21" t="n">
        <f aca="false">K57/1000*(Inputs!$B$19+Inputs!$B$20+Inputs!$B$21+Inputs!$B$22+Inputs!$B$23+Inputs!$B$24)+K58*((((Inputs!$B$10*Inputs!$B$15+Inputs!$B$11*Inputs!$B$16)*(1-Inputs!$B$14)+(Inputs!$B$10*Inputs!$B$17+Inputs!$B$11*Inputs!$B$18)*Inputs!$B$14)/1000000*Inputs!$B$12)*$B$11+Inputs!$B$12*Inputs!$B$13)+(K55*$D$19)*Inputs!$B$25*Inputs!$B$26+((K55*$D$19)*Inputs!$B$8*$B$13)*Inputs!$B$27*Inputs!$B$28+K56*(Inputs!$B$29+Inputs!$B$31)+K54*Inputs!$B$30+K55*Inputs!$B$32</f>
        <v>739.323785599313</v>
      </c>
      <c r="L59" s="21" t="n">
        <f aca="false">L57/1000*(Inputs!$B$19+Inputs!$B$20+Inputs!$B$21+Inputs!$B$22+Inputs!$B$23+Inputs!$B$24)+L58*((((Inputs!$B$10*Inputs!$B$15+Inputs!$B$11*Inputs!$B$16)*(1-Inputs!$B$14)+(Inputs!$B$10*Inputs!$B$17+Inputs!$B$11*Inputs!$B$18)*Inputs!$B$14)/1000000*Inputs!$B$12)*$B$11+Inputs!$B$12*Inputs!$B$13)+(L55*$D$19)*Inputs!$B$25*Inputs!$B$26+((L55*$D$19)*Inputs!$B$8*$B$13)*Inputs!$B$27*Inputs!$B$28+L56*(Inputs!$B$29+Inputs!$B$31)+L54*Inputs!$B$30+L55*Inputs!$B$32</f>
        <v>847.437969628994</v>
      </c>
      <c r="M59" s="21" t="n">
        <f aca="false">M57/1000*(Inputs!$B$19+Inputs!$B$20+Inputs!$B$21+Inputs!$B$22+Inputs!$B$23+Inputs!$B$24)+M58*((((Inputs!$B$10*Inputs!$B$15+Inputs!$B$11*Inputs!$B$16)*(1-Inputs!$B$14)+(Inputs!$B$10*Inputs!$B$17+Inputs!$B$11*Inputs!$B$18)*Inputs!$B$14)/1000000*Inputs!$B$12)*$B$11+Inputs!$B$12*Inputs!$B$13)+(M55*$D$19)*Inputs!$B$25*Inputs!$B$26+((M55*$D$19)*Inputs!$B$8*$B$13)*Inputs!$B$27*Inputs!$B$28+M56*(Inputs!$B$29+Inputs!$B$31)+M54*Inputs!$B$30+M55*Inputs!$B$32</f>
        <v>936.72129303675</v>
      </c>
    </row>
    <row r="60" customFormat="false" ht="15" hidden="false" customHeight="false" outlineLevel="0" collapsed="false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3" t="s">
        <v>138</v>
      </c>
      <c r="B61" s="21" t="n">
        <f aca="false">0</f>
        <v>0</v>
      </c>
      <c r="C61" s="21" t="n">
        <f aca="false">B64</f>
        <v>1.2</v>
      </c>
      <c r="D61" s="21" t="n">
        <f aca="false">C64</f>
        <v>2.448</v>
      </c>
      <c r="E61" s="21" t="n">
        <f aca="false">D64</f>
        <v>3.75312</v>
      </c>
      <c r="F61" s="21" t="n">
        <f aca="false">E64</f>
        <v>5.1251328</v>
      </c>
      <c r="G61" s="21" t="n">
        <f aca="false">F64</f>
        <v>6.574544832</v>
      </c>
      <c r="H61" s="21" t="n">
        <f aca="false">G64</f>
        <v>8.11268414208</v>
      </c>
      <c r="I61" s="21" t="n">
        <f aca="false">H64</f>
        <v>9.7517962935552</v>
      </c>
      <c r="J61" s="21" t="n">
        <f aca="false">I64</f>
        <v>11.5051490359419</v>
      </c>
      <c r="K61" s="21" t="n">
        <f aca="false">J64</f>
        <v>13.3871466657854</v>
      </c>
      <c r="L61" s="21" t="n">
        <f aca="false">K64</f>
        <v>15.4134550950383</v>
      </c>
      <c r="M61" s="21" t="n">
        <f aca="false">L64</f>
        <v>17.601138741456</v>
      </c>
    </row>
    <row r="62" customFormat="false" ht="15" hidden="false" customHeight="false" outlineLevel="0" collapsed="false">
      <c r="A62" s="2" t="s">
        <v>139</v>
      </c>
      <c r="B62" s="22" t="n">
        <f aca="false">B27*$C$20</f>
        <v>1.2</v>
      </c>
      <c r="C62" s="22" t="n">
        <f aca="false">C27*$C$20</f>
        <v>1.32</v>
      </c>
      <c r="D62" s="22" t="n">
        <f aca="false">D27*$C$20</f>
        <v>1.452</v>
      </c>
      <c r="E62" s="22" t="n">
        <f aca="false">E27*$C$20</f>
        <v>1.5972</v>
      </c>
      <c r="F62" s="22" t="n">
        <f aca="false">F27*$C$20</f>
        <v>1.75692</v>
      </c>
      <c r="G62" s="22" t="n">
        <f aca="false">G27*$C$20</f>
        <v>1.932612</v>
      </c>
      <c r="H62" s="22" t="n">
        <f aca="false">H27*$C$20</f>
        <v>2.1258732</v>
      </c>
      <c r="I62" s="22" t="n">
        <f aca="false">I27*$C$20</f>
        <v>2.33846052</v>
      </c>
      <c r="J62" s="22" t="n">
        <f aca="false">J27*$C$20</f>
        <v>2.572306572</v>
      </c>
      <c r="K62" s="22" t="n">
        <f aca="false">K27*$C$20</f>
        <v>2.8295372292</v>
      </c>
      <c r="L62" s="22" t="n">
        <f aca="false">L27*$C$20</f>
        <v>3.11249095212</v>
      </c>
      <c r="M62" s="22" t="n">
        <f aca="false">M27*$C$20</f>
        <v>3.423740047332</v>
      </c>
    </row>
    <row r="63" customFormat="false" ht="15" hidden="false" customHeight="false" outlineLevel="0" collapsed="false">
      <c r="A63" s="3" t="s">
        <v>140</v>
      </c>
      <c r="B63" s="21" t="n">
        <f aca="false">B61*$B$7</f>
        <v>0</v>
      </c>
      <c r="C63" s="21" t="n">
        <f aca="false">C61*$B$7</f>
        <v>0.072</v>
      </c>
      <c r="D63" s="21" t="n">
        <f aca="false">D61*$B$7</f>
        <v>0.14688</v>
      </c>
      <c r="E63" s="21" t="n">
        <f aca="false">E61*$B$7</f>
        <v>0.2251872</v>
      </c>
      <c r="F63" s="21" t="n">
        <f aca="false">F61*$B$7</f>
        <v>0.307507968</v>
      </c>
      <c r="G63" s="21" t="n">
        <f aca="false">G61*$B$7</f>
        <v>0.39447268992</v>
      </c>
      <c r="H63" s="21" t="n">
        <f aca="false">H61*$B$7</f>
        <v>0.4867610485248</v>
      </c>
      <c r="I63" s="21" t="n">
        <f aca="false">I61*$B$7</f>
        <v>0.585107777613312</v>
      </c>
      <c r="J63" s="21" t="n">
        <f aca="false">J61*$B$7</f>
        <v>0.690308942156514</v>
      </c>
      <c r="K63" s="21" t="n">
        <f aca="false">K61*$B$7</f>
        <v>0.803228799947123</v>
      </c>
      <c r="L63" s="21" t="n">
        <f aca="false">L61*$B$7</f>
        <v>0.924807305702296</v>
      </c>
      <c r="M63" s="21" t="n">
        <f aca="false">M61*$B$7</f>
        <v>1.05606832448736</v>
      </c>
    </row>
    <row r="64" customFormat="false" ht="15" hidden="false" customHeight="false" outlineLevel="0" collapsed="false">
      <c r="A64" s="2" t="s">
        <v>141</v>
      </c>
      <c r="B64" s="22" t="n">
        <f aca="false">B61+B62-B63</f>
        <v>1.2</v>
      </c>
      <c r="C64" s="22" t="n">
        <f aca="false">C61+C62-C63</f>
        <v>2.448</v>
      </c>
      <c r="D64" s="22" t="n">
        <f aca="false">D61+D62-D63</f>
        <v>3.75312</v>
      </c>
      <c r="E64" s="22" t="n">
        <f aca="false">E61+E62-E63</f>
        <v>5.1251328</v>
      </c>
      <c r="F64" s="22" t="n">
        <f aca="false">F61+F62-F63</f>
        <v>6.574544832</v>
      </c>
      <c r="G64" s="22" t="n">
        <f aca="false">G61+G62-G63</f>
        <v>8.11268414208</v>
      </c>
      <c r="H64" s="22" t="n">
        <f aca="false">H61+H62-H63</f>
        <v>9.7517962935552</v>
      </c>
      <c r="I64" s="22" t="n">
        <f aca="false">I61+I62-I63</f>
        <v>11.5051490359419</v>
      </c>
      <c r="J64" s="22" t="n">
        <f aca="false">J61+J62-J63</f>
        <v>13.3871466657854</v>
      </c>
      <c r="K64" s="22" t="n">
        <f aca="false">K61+K62-K63</f>
        <v>15.4134550950383</v>
      </c>
      <c r="L64" s="22" t="n">
        <f aca="false">L61+L62-L63</f>
        <v>17.601138741456</v>
      </c>
      <c r="M64" s="22" t="n">
        <f aca="false">M61+M62-M63</f>
        <v>19.9688104643006</v>
      </c>
    </row>
    <row r="65" customFormat="false" ht="15" hidden="false" customHeight="false" outlineLevel="0" collapsed="false">
      <c r="A65" s="3" t="s">
        <v>142</v>
      </c>
      <c r="B65" s="21" t="n">
        <f aca="false">(B61+B64)/2</f>
        <v>0.6</v>
      </c>
      <c r="C65" s="21" t="n">
        <f aca="false">(C61+C64)/2</f>
        <v>1.824</v>
      </c>
      <c r="D65" s="21" t="n">
        <f aca="false">(D61+D64)/2</f>
        <v>3.10056</v>
      </c>
      <c r="E65" s="21" t="n">
        <f aca="false">(E61+E64)/2</f>
        <v>4.4391264</v>
      </c>
      <c r="F65" s="21" t="n">
        <f aca="false">(F61+F64)/2</f>
        <v>5.849838816</v>
      </c>
      <c r="G65" s="21" t="n">
        <f aca="false">(G61+G64)/2</f>
        <v>7.34361448704</v>
      </c>
      <c r="H65" s="21" t="n">
        <f aca="false">(H61+H64)/2</f>
        <v>8.9322402178176</v>
      </c>
      <c r="I65" s="21" t="n">
        <f aca="false">(I61+I64)/2</f>
        <v>10.6284726647486</v>
      </c>
      <c r="J65" s="21" t="n">
        <f aca="false">(J61+J64)/2</f>
        <v>12.4461478508636</v>
      </c>
      <c r="K65" s="21" t="n">
        <f aca="false">(K61+K64)/2</f>
        <v>14.4003008804118</v>
      </c>
      <c r="L65" s="21" t="n">
        <f aca="false">(L61+L64)/2</f>
        <v>16.5072969182471</v>
      </c>
      <c r="M65" s="21" t="n">
        <f aca="false">(M61+M64)/2</f>
        <v>18.7849746028783</v>
      </c>
    </row>
    <row r="66" customFormat="false" ht="15" hidden="false" customHeight="false" outlineLevel="0" collapsed="false">
      <c r="A66" s="2" t="s">
        <v>143</v>
      </c>
      <c r="B66" s="22" t="n">
        <f aca="false">B65*$B$20</f>
        <v>59.4</v>
      </c>
      <c r="C66" s="22" t="n">
        <f aca="false">C65*$B$20</f>
        <v>180.576</v>
      </c>
      <c r="D66" s="22" t="n">
        <f aca="false">D65*$B$20</f>
        <v>306.95544</v>
      </c>
      <c r="E66" s="22" t="n">
        <f aca="false">E65*$B$20</f>
        <v>439.4735136</v>
      </c>
      <c r="F66" s="22" t="n">
        <f aca="false">F65*$B$20</f>
        <v>579.134042784</v>
      </c>
      <c r="G66" s="22" t="n">
        <f aca="false">G65*$B$20</f>
        <v>727.01783421696</v>
      </c>
      <c r="H66" s="22" t="n">
        <f aca="false">H65*$B$20</f>
        <v>884.291781563943</v>
      </c>
      <c r="I66" s="22" t="n">
        <f aca="false">I65*$B$20</f>
        <v>1052.21879381011</v>
      </c>
      <c r="J66" s="22" t="n">
        <f aca="false">J65*$B$20</f>
        <v>1232.1686372355</v>
      </c>
      <c r="K66" s="22" t="n">
        <f aca="false">K65*$B$20</f>
        <v>1425.62978716077</v>
      </c>
      <c r="L66" s="22" t="n">
        <f aca="false">L65*$B$20</f>
        <v>1634.22239490646</v>
      </c>
      <c r="M66" s="22" t="n">
        <f aca="false">M65*$B$20</f>
        <v>1859.71248568495</v>
      </c>
    </row>
    <row r="67" customFormat="false" ht="15" hidden="false" customHeight="false" outlineLevel="0" collapsed="false">
      <c r="A67" s="3" t="s">
        <v>144</v>
      </c>
      <c r="B67" s="21" t="n">
        <f aca="false">(B65*$D$20)*DAY(EOMONTH(B$25,0))*1440/$E$20*$B$12</f>
        <v>160704</v>
      </c>
      <c r="C67" s="21" t="n">
        <f aca="false">(C65*$D$20)*DAY(EOMONTH(C$25,0))*1440/$E$20*$B$12</f>
        <v>472780.8</v>
      </c>
      <c r="D67" s="21" t="n">
        <f aca="false">(D65*$D$20)*DAY(EOMONTH(D$25,0))*1440/$E$20*$B$12</f>
        <v>830453.9904</v>
      </c>
      <c r="E67" s="21" t="n">
        <f aca="false">(E65*$D$20)*DAY(EOMONTH(E$25,0))*1440/$E$20*$B$12</f>
        <v>1188975.614976</v>
      </c>
      <c r="F67" s="21" t="n">
        <f aca="false">(F65*$D$20)*DAY(EOMONTH(F$25,0))*1440/$E$20*$B$12</f>
        <v>1415193.00636672</v>
      </c>
      <c r="G67" s="21" t="n">
        <f aca="false">(G65*$D$20)*DAY(EOMONTH(G$25,0))*1440/$E$20*$B$12</f>
        <v>1966913.70420879</v>
      </c>
      <c r="H67" s="21" t="n">
        <f aca="false">(H65*$D$20)*DAY(EOMONTH(H$25,0))*1440/$E$20*$B$12</f>
        <v>2315236.66445832</v>
      </c>
      <c r="I67" s="21" t="n">
        <f aca="false">(I65*$D$20)*DAY(EOMONTH(I$25,0))*1440/$E$20*$B$12</f>
        <v>2846730.11852625</v>
      </c>
      <c r="J67" s="21" t="n">
        <f aca="false">(J65*$D$20)*DAY(EOMONTH(J$25,0))*1440/$E$20*$B$12</f>
        <v>3226041.52294386</v>
      </c>
      <c r="K67" s="21" t="n">
        <f aca="false">(K65*$D$20)*DAY(EOMONTH(K$25,0))*1440/$E$20*$B$12</f>
        <v>3856976.5878095</v>
      </c>
      <c r="L67" s="21" t="n">
        <f aca="false">(L65*$D$20)*DAY(EOMONTH(L$25,0))*1440/$E$20*$B$12</f>
        <v>4421314.40658331</v>
      </c>
      <c r="M67" s="21" t="n">
        <f aca="false">(M65*$D$20)*DAY(EOMONTH(M$25,0))*1440/$E$20*$B$12</f>
        <v>4869065.41706605</v>
      </c>
    </row>
    <row r="68" customFormat="false" ht="15" hidden="false" customHeight="false" outlineLevel="0" collapsed="false">
      <c r="A68" s="2" t="s">
        <v>145</v>
      </c>
      <c r="B68" s="22" t="n">
        <f aca="false">(B65*$D$20)*Inputs!$B$8*$B$13*Inputs!$B$9*$F$20</f>
        <v>4.32</v>
      </c>
      <c r="C68" s="22" t="n">
        <f aca="false">(C65*$D$20)*Inputs!$B$8*$B$13*Inputs!$B$9*$F$20</f>
        <v>13.1328</v>
      </c>
      <c r="D68" s="22" t="n">
        <f aca="false">(D65*$D$20)*Inputs!$B$8*$B$13*Inputs!$B$9*$F$20</f>
        <v>22.324032</v>
      </c>
      <c r="E68" s="22" t="n">
        <f aca="false">(E65*$D$20)*Inputs!$B$8*$B$13*Inputs!$B$9*$F$20</f>
        <v>31.96171008</v>
      </c>
      <c r="F68" s="22" t="n">
        <f aca="false">(F65*$D$20)*Inputs!$B$8*$B$13*Inputs!$B$9*$F$20</f>
        <v>42.1188394752</v>
      </c>
      <c r="G68" s="22" t="n">
        <f aca="false">(G65*$D$20)*Inputs!$B$8*$B$13*Inputs!$B$9*$F$20</f>
        <v>52.874024306688</v>
      </c>
      <c r="H68" s="22" t="n">
        <f aca="false">(H65*$D$20)*Inputs!$B$8*$B$13*Inputs!$B$9*$F$20</f>
        <v>64.3121295682868</v>
      </c>
      <c r="I68" s="22" t="n">
        <f aca="false">(I65*$D$20)*Inputs!$B$8*$B$13*Inputs!$B$9*$F$20</f>
        <v>76.5250031861896</v>
      </c>
      <c r="J68" s="22" t="n">
        <f aca="false">(J65*$D$20)*Inputs!$B$8*$B$13*Inputs!$B$9*$F$20</f>
        <v>89.6122645262182</v>
      </c>
      <c r="K68" s="22" t="n">
        <f aca="false">(K65*$D$20)*Inputs!$B$8*$B$13*Inputs!$B$9*$F$20</f>
        <v>103.682166338965</v>
      </c>
      <c r="L68" s="22" t="n">
        <f aca="false">(L65*$D$20)*Inputs!$B$8*$B$13*Inputs!$B$9*$F$20</f>
        <v>118.852537811379</v>
      </c>
      <c r="M68" s="22" t="n">
        <f aca="false">(M65*$D$20)*Inputs!$B$8*$B$13*Inputs!$B$9*$F$20</f>
        <v>135.251817140724</v>
      </c>
    </row>
    <row r="69" customFormat="false" ht="15" hidden="false" customHeight="false" outlineLevel="0" collapsed="false">
      <c r="A69" s="3" t="s">
        <v>146</v>
      </c>
      <c r="B69" s="21" t="n">
        <f aca="false">B67/1000*(Inputs!$B$19+Inputs!$B$20+Inputs!$B$21+Inputs!$B$22+Inputs!$B$23+Inputs!$B$24)+B68*((((Inputs!$B$10*Inputs!$B$15+Inputs!$B$11*Inputs!$B$16)*(1-Inputs!$B$14)+(Inputs!$B$10*Inputs!$B$17+Inputs!$B$11*Inputs!$B$18)*Inputs!$B$14)/1000000*Inputs!$B$12)*$B$11+Inputs!$B$12*Inputs!$B$13)+(B65*$D$20)*Inputs!$B$25*Inputs!$B$26+((B65*$D$20)*Inputs!$B$8*$B$13)*Inputs!$B$27*Inputs!$B$28+B66*(Inputs!$B$29+Inputs!$B$31)+B64*Inputs!$B$30+B65*Inputs!$B$32</f>
        <v>30.2457216</v>
      </c>
      <c r="C69" s="21" t="n">
        <f aca="false">C67/1000*(Inputs!$B$19+Inputs!$B$20+Inputs!$B$21+Inputs!$B$22+Inputs!$B$23+Inputs!$B$24)+C68*((((Inputs!$B$10*Inputs!$B$15+Inputs!$B$11*Inputs!$B$16)*(1-Inputs!$B$14)+(Inputs!$B$10*Inputs!$B$17+Inputs!$B$11*Inputs!$B$18)*Inputs!$B$14)/1000000*Inputs!$B$12)*$B$11+Inputs!$B$12*Inputs!$B$13)+(C65*$D$20)*Inputs!$B$25*Inputs!$B$26+((C65*$D$20)*Inputs!$B$8*$B$13)*Inputs!$B$27*Inputs!$B$28+C66*(Inputs!$B$29+Inputs!$B$31)+C64*Inputs!$B$30+C65*Inputs!$B$32</f>
        <v>88.907902464</v>
      </c>
      <c r="D69" s="21" t="n">
        <f aca="false">D67/1000*(Inputs!$B$19+Inputs!$B$20+Inputs!$B$21+Inputs!$B$22+Inputs!$B$23+Inputs!$B$24)+D68*((((Inputs!$B$10*Inputs!$B$15+Inputs!$B$11*Inputs!$B$16)*(1-Inputs!$B$14)+(Inputs!$B$10*Inputs!$B$17+Inputs!$B$11*Inputs!$B$18)*Inputs!$B$14)/1000000*Inputs!$B$12)*$B$11+Inputs!$B$12*Inputs!$B$13)+(D65*$D$20)*Inputs!$B$25*Inputs!$B$26+((D65*$D$20)*Inputs!$B$8*$B$13)*Inputs!$B$27*Inputs!$B$28+D66*(Inputs!$B$29+Inputs!$B$31)+D64*Inputs!$B$30+D65*Inputs!$B$32</f>
        <v>155.56339094016</v>
      </c>
      <c r="E69" s="21" t="n">
        <f aca="false">E67/1000*(Inputs!$B$19+Inputs!$B$20+Inputs!$B$21+Inputs!$B$22+Inputs!$B$23+Inputs!$B$24)+E68*((((Inputs!$B$10*Inputs!$B$15+Inputs!$B$11*Inputs!$B$16)*(1-Inputs!$B$14)+(Inputs!$B$10*Inputs!$B$17+Inputs!$B$11*Inputs!$B$18)*Inputs!$B$14)/1000000*Inputs!$B$12)*$B$11+Inputs!$B$12*Inputs!$B$13)+(E65*$D$20)*Inputs!$B$25*Inputs!$B$26+((E65*$D$20)*Inputs!$B$8*$B$13)*Inputs!$B$27*Inputs!$B$28+E66*(Inputs!$B$29+Inputs!$B$31)+E64*Inputs!$B$30+E65*Inputs!$B$32</f>
        <v>222.648366069351</v>
      </c>
      <c r="F69" s="21" t="n">
        <f aca="false">F67/1000*(Inputs!$B$19+Inputs!$B$20+Inputs!$B$21+Inputs!$B$22+Inputs!$B$23+Inputs!$B$24)+F68*((((Inputs!$B$10*Inputs!$B$15+Inputs!$B$11*Inputs!$B$16)*(1-Inputs!$B$14)+(Inputs!$B$10*Inputs!$B$17+Inputs!$B$11*Inputs!$B$18)*Inputs!$B$14)/1000000*Inputs!$B$12)*$B$11+Inputs!$B$12*Inputs!$B$13)+(F65*$D$20)*Inputs!$B$25*Inputs!$B$26+((F65*$D$20)*Inputs!$B$8*$B$13)*Inputs!$B$27*Inputs!$B$28+F66*(Inputs!$B$29+Inputs!$B$31)+F64*Inputs!$B$30+F65*Inputs!$B$32</f>
        <v>267.573390790527</v>
      </c>
      <c r="G69" s="21" t="n">
        <f aca="false">G67/1000*(Inputs!$B$19+Inputs!$B$20+Inputs!$B$21+Inputs!$B$22+Inputs!$B$23+Inputs!$B$24)+G68*((((Inputs!$B$10*Inputs!$B$15+Inputs!$B$11*Inputs!$B$16)*(1-Inputs!$B$14)+(Inputs!$B$10*Inputs!$B$17+Inputs!$B$11*Inputs!$B$18)*Inputs!$B$14)/1000000*Inputs!$B$12)*$B$11+Inputs!$B$12*Inputs!$B$13)+(G65*$D$20)*Inputs!$B$25*Inputs!$B$26+((G65*$D$20)*Inputs!$B$8*$B$13)*Inputs!$B$27*Inputs!$B$28+G66*(Inputs!$B$29+Inputs!$B$31)+G64*Inputs!$B$30+G65*Inputs!$B$32</f>
        <v>368.215835404965</v>
      </c>
      <c r="H69" s="21" t="n">
        <f aca="false">H67/1000*(Inputs!$B$19+Inputs!$B$20+Inputs!$B$21+Inputs!$B$22+Inputs!$B$23+Inputs!$B$24)+H68*((((Inputs!$B$10*Inputs!$B$15+Inputs!$B$11*Inputs!$B$16)*(1-Inputs!$B$14)+(Inputs!$B$10*Inputs!$B$17+Inputs!$B$11*Inputs!$B$18)*Inputs!$B$14)/1000000*Inputs!$B$12)*$B$11+Inputs!$B$12*Inputs!$B$13)+(H65*$D$20)*Inputs!$B$25*Inputs!$B$26+((H65*$D$20)*Inputs!$B$8*$B$13)*Inputs!$B$27*Inputs!$B$28+H66*(Inputs!$B$29+Inputs!$B$31)+H64*Inputs!$B$30+H65*Inputs!$B$32</f>
        <v>434.71660514617</v>
      </c>
      <c r="I69" s="21" t="n">
        <f aca="false">I67/1000*(Inputs!$B$19+Inputs!$B$20+Inputs!$B$21+Inputs!$B$22+Inputs!$B$23+Inputs!$B$24)+I68*((((Inputs!$B$10*Inputs!$B$15+Inputs!$B$11*Inputs!$B$16)*(1-Inputs!$B$14)+(Inputs!$B$10*Inputs!$B$17+Inputs!$B$11*Inputs!$B$18)*Inputs!$B$14)/1000000*Inputs!$B$12)*$B$11+Inputs!$B$12*Inputs!$B$13)+(I65*$D$20)*Inputs!$B$25*Inputs!$B$26+((I65*$D$20)*Inputs!$B$8*$B$13)*Inputs!$B$27*Inputs!$B$28+I66*(Inputs!$B$29+Inputs!$B$31)+I64*Inputs!$B$30+I65*Inputs!$B$32</f>
        <v>532.850836530591</v>
      </c>
      <c r="J69" s="21" t="n">
        <f aca="false">J67/1000*(Inputs!$B$19+Inputs!$B$20+Inputs!$B$21+Inputs!$B$22+Inputs!$B$23+Inputs!$B$24)+J68*((((Inputs!$B$10*Inputs!$B$15+Inputs!$B$11*Inputs!$B$16)*(1-Inputs!$B$14)+(Inputs!$B$10*Inputs!$B$17+Inputs!$B$11*Inputs!$B$18)*Inputs!$B$14)/1000000*Inputs!$B$12)*$B$11+Inputs!$B$12*Inputs!$B$13)+(J65*$D$20)*Inputs!$B$25*Inputs!$B$26+((J65*$D$20)*Inputs!$B$8*$B$13)*Inputs!$B$27*Inputs!$B$28+J66*(Inputs!$B$29+Inputs!$B$31)+J64*Inputs!$B$30+J65*Inputs!$B$32</f>
        <v>605.672091475302</v>
      </c>
      <c r="K69" s="21" t="n">
        <f aca="false">K67/1000*(Inputs!$B$19+Inputs!$B$20+Inputs!$B$21+Inputs!$B$22+Inputs!$B$23+Inputs!$B$24)+K68*((((Inputs!$B$10*Inputs!$B$15+Inputs!$B$11*Inputs!$B$16)*(1-Inputs!$B$14)+(Inputs!$B$10*Inputs!$B$17+Inputs!$B$11*Inputs!$B$18)*Inputs!$B$14)/1000000*Inputs!$B$12)*$B$11+Inputs!$B$12*Inputs!$B$13)+(K65*$D$20)*Inputs!$B$25*Inputs!$B$26+((K65*$D$20)*Inputs!$B$8*$B$13)*Inputs!$B$27*Inputs!$B$28+K66*(Inputs!$B$29+Inputs!$B$31)+K64*Inputs!$B$30+K65*Inputs!$B$32</f>
        <v>721.896341642216</v>
      </c>
      <c r="L69" s="21" t="n">
        <f aca="false">L67/1000*(Inputs!$B$19+Inputs!$B$20+Inputs!$B$21+Inputs!$B$22+Inputs!$B$23+Inputs!$B$24)+L68*((((Inputs!$B$10*Inputs!$B$15+Inputs!$B$11*Inputs!$B$16)*(1-Inputs!$B$14)+(Inputs!$B$10*Inputs!$B$17+Inputs!$B$11*Inputs!$B$18)*Inputs!$B$14)/1000000*Inputs!$B$12)*$B$11+Inputs!$B$12*Inputs!$B$13)+(L65*$D$20)*Inputs!$B$25*Inputs!$B$26+((L65*$D$20)*Inputs!$B$8*$B$13)*Inputs!$B$27*Inputs!$B$28+L66*(Inputs!$B$29+Inputs!$B$31)+L64*Inputs!$B$30+L65*Inputs!$B$32</f>
        <v>827.501141734556</v>
      </c>
      <c r="M69" s="21" t="n">
        <f aca="false">M67/1000*(Inputs!$B$19+Inputs!$B$20+Inputs!$B$21+Inputs!$B$22+Inputs!$B$23+Inputs!$B$24)+M68*((((Inputs!$B$10*Inputs!$B$15+Inputs!$B$11*Inputs!$B$16)*(1-Inputs!$B$14)+(Inputs!$B$10*Inputs!$B$17+Inputs!$B$11*Inputs!$B$18)*Inputs!$B$14)/1000000*Inputs!$B$12)*$B$11+Inputs!$B$12*Inputs!$B$13)+(M65*$D$20)*Inputs!$B$25*Inputs!$B$26+((M65*$D$20)*Inputs!$B$8*$B$13)*Inputs!$B$27*Inputs!$B$28+M66*(Inputs!$B$29+Inputs!$B$31)+M64*Inputs!$B$30+M65*Inputs!$B$32</f>
        <v>914.070141183735</v>
      </c>
    </row>
    <row r="70" customFormat="false" ht="15" hidden="false" customHeight="false" outlineLevel="0" collapsed="false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customFormat="false" ht="15" hidden="false" customHeight="false" outlineLevel="0" collapsed="false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23" t="s">
        <v>147</v>
      </c>
      <c r="B73" s="25" t="n">
        <f aca="false">B44+B54+B64</f>
        <v>12</v>
      </c>
      <c r="C73" s="25" t="n">
        <f aca="false">C44+C54+C64</f>
        <v>24.48</v>
      </c>
      <c r="D73" s="25" t="n">
        <f aca="false">D44+D54+D64</f>
        <v>37.5312</v>
      </c>
      <c r="E73" s="25" t="n">
        <f aca="false">E44+E54+E64</f>
        <v>51.251328</v>
      </c>
      <c r="F73" s="25" t="n">
        <f aca="false">F44+F54+F64</f>
        <v>65.74544832</v>
      </c>
      <c r="G73" s="25" t="n">
        <f aca="false">G44+G54+G64</f>
        <v>81.1268414208</v>
      </c>
      <c r="H73" s="25" t="n">
        <f aca="false">H44+H54+H64</f>
        <v>97.517962935552</v>
      </c>
      <c r="I73" s="25" t="n">
        <f aca="false">I44+I54+I64</f>
        <v>115.051490359419</v>
      </c>
      <c r="J73" s="25" t="n">
        <f aca="false">J44+J54+J64</f>
        <v>133.871466657854</v>
      </c>
      <c r="K73" s="25" t="n">
        <f aca="false">K44+K54+K64</f>
        <v>154.134550950383</v>
      </c>
      <c r="L73" s="25" t="n">
        <f aca="false">L44+L54+L64</f>
        <v>176.01138741456</v>
      </c>
      <c r="M73" s="25" t="n">
        <f aca="false">M44+M54+M64</f>
        <v>199.688104643006</v>
      </c>
    </row>
    <row r="74" customFormat="false" ht="15" hidden="false" customHeight="false" outlineLevel="0" collapsed="false">
      <c r="A74" s="2" t="s">
        <v>148</v>
      </c>
      <c r="B74" s="26" t="n">
        <f aca="false">B45+B55+B65</f>
        <v>6</v>
      </c>
      <c r="C74" s="26" t="n">
        <f aca="false">C45+C55+C65</f>
        <v>18.24</v>
      </c>
      <c r="D74" s="26" t="n">
        <f aca="false">D45+D55+D65</f>
        <v>31.0056</v>
      </c>
      <c r="E74" s="26" t="n">
        <f aca="false">E45+E55+E65</f>
        <v>44.391264</v>
      </c>
      <c r="F74" s="26" t="n">
        <f aca="false">F45+F55+F65</f>
        <v>58.49838816</v>
      </c>
      <c r="G74" s="26" t="n">
        <f aca="false">G45+G55+G65</f>
        <v>73.4361448704</v>
      </c>
      <c r="H74" s="26" t="n">
        <f aca="false">H45+H55+H65</f>
        <v>89.322402178176</v>
      </c>
      <c r="I74" s="26" t="n">
        <f aca="false">I45+I55+I65</f>
        <v>106.284726647485</v>
      </c>
      <c r="J74" s="26" t="n">
        <f aca="false">J45+J55+J65</f>
        <v>124.461478508636</v>
      </c>
      <c r="K74" s="26" t="n">
        <f aca="false">K45+K55+K65</f>
        <v>144.003008804118</v>
      </c>
      <c r="L74" s="26" t="n">
        <f aca="false">L45+L55+L65</f>
        <v>165.072969182471</v>
      </c>
      <c r="M74" s="26" t="n">
        <f aca="false">M45+M55+M65</f>
        <v>187.849746028783</v>
      </c>
    </row>
    <row r="75" customFormat="false" ht="15" hidden="false" customHeight="false" outlineLevel="0" collapsed="false">
      <c r="A75" s="3" t="s">
        <v>149</v>
      </c>
      <c r="B75" s="27" t="n">
        <f aca="false">B34</f>
        <v>138</v>
      </c>
      <c r="C75" s="27" t="n">
        <f aca="false">C34</f>
        <v>269.1</v>
      </c>
      <c r="D75" s="27" t="n">
        <f aca="false">D34</f>
        <v>395.715</v>
      </c>
      <c r="E75" s="27" t="n">
        <f aca="false">E34</f>
        <v>520.03575</v>
      </c>
      <c r="F75" s="27" t="n">
        <f aca="false">F34</f>
        <v>644.0761875</v>
      </c>
      <c r="G75" s="27" t="n">
        <f aca="false">G34</f>
        <v>769.715139375</v>
      </c>
      <c r="H75" s="27" t="n">
        <f aca="false">H34</f>
        <v>898.73328646875</v>
      </c>
      <c r="I75" s="27" t="n">
        <f aca="false">I34</f>
        <v>1032.84625329844</v>
      </c>
      <c r="J75" s="27" t="n">
        <f aca="false">J34</f>
        <v>1173.73457108367</v>
      </c>
      <c r="K75" s="27" t="n">
        <f aca="false">K34</f>
        <v>1323.07116677912</v>
      </c>
      <c r="L75" s="27" t="n">
        <f aca="false">L34</f>
        <v>1482.54695125605</v>
      </c>
      <c r="M75" s="27" t="n">
        <f aca="false">M34</f>
        <v>1653.89501401083</v>
      </c>
    </row>
    <row r="76" customFormat="false" ht="15" hidden="false" customHeight="false" outlineLevel="0" collapsed="false">
      <c r="A76" s="23" t="s">
        <v>17</v>
      </c>
      <c r="B76" s="28" t="n">
        <f aca="false">B44*$B$18+B54*$B$19+B64*$B$20</f>
        <v>288</v>
      </c>
      <c r="C76" s="28" t="n">
        <f aca="false">C44*$B$18+C54*$B$19+C64*$B$20</f>
        <v>587.52</v>
      </c>
      <c r="D76" s="28" t="n">
        <f aca="false">D44*$B$18+D54*$B$19+D64*$B$20</f>
        <v>900.7488</v>
      </c>
      <c r="E76" s="28" t="n">
        <f aca="false">E44*$B$18+E54*$B$19+E64*$B$20</f>
        <v>1230.031872</v>
      </c>
      <c r="F76" s="28" t="n">
        <f aca="false">F44*$B$18+F54*$B$19+F64*$B$20</f>
        <v>1577.89075968</v>
      </c>
      <c r="G76" s="28" t="n">
        <f aca="false">G44*$B$18+G54*$B$19+G64*$B$20</f>
        <v>1947.0441940992</v>
      </c>
      <c r="H76" s="28" t="n">
        <f aca="false">H44*$B$18+H54*$B$19+H64*$B$20</f>
        <v>2340.43111045325</v>
      </c>
      <c r="I76" s="28" t="n">
        <f aca="false">I44*$B$18+I54*$B$19+I64*$B$20</f>
        <v>2761.23576862605</v>
      </c>
      <c r="J76" s="28" t="n">
        <f aca="false">J44*$B$18+J54*$B$19+J64*$B$20</f>
        <v>3212.91519978849</v>
      </c>
      <c r="K76" s="28" t="n">
        <f aca="false">K44*$B$18+K54*$B$19+K64*$B$20</f>
        <v>3699.22922280918</v>
      </c>
      <c r="L76" s="28" t="n">
        <f aca="false">L44*$B$18+L54*$B$19+L64*$B$20</f>
        <v>4224.27329794943</v>
      </c>
      <c r="M76" s="28" t="n">
        <f aca="false">M44*$B$18+M54*$B$19+M64*$B$20</f>
        <v>4792.51451143215</v>
      </c>
    </row>
    <row r="77" customFormat="false" ht="15" hidden="false" customHeight="false" outlineLevel="0" collapsed="false">
      <c r="A77" s="23" t="s">
        <v>150</v>
      </c>
      <c r="B77" s="28" t="n">
        <f aca="false">B36+B46+B56+B66</f>
        <v>144</v>
      </c>
      <c r="C77" s="28" t="n">
        <f aca="false">C36+C46+C56+C66</f>
        <v>437.76</v>
      </c>
      <c r="D77" s="28" t="n">
        <f aca="false">D36+D46+D56+D66</f>
        <v>744.1344</v>
      </c>
      <c r="E77" s="28" t="n">
        <f aca="false">E36+E46+E56+E66</f>
        <v>1065.390336</v>
      </c>
      <c r="F77" s="28" t="n">
        <f aca="false">F36+F46+F56+F66</f>
        <v>1403.96131584</v>
      </c>
      <c r="G77" s="28" t="n">
        <f aca="false">G36+G46+G56+G66</f>
        <v>1762.4674768896</v>
      </c>
      <c r="H77" s="28" t="n">
        <f aca="false">H36+H46+H56+H66</f>
        <v>2143.73765227622</v>
      </c>
      <c r="I77" s="28" t="n">
        <f aca="false">I36+I46+I56+I66</f>
        <v>2550.83343953965</v>
      </c>
      <c r="J77" s="28" t="n">
        <f aca="false">J36+J46+J56+J66</f>
        <v>2987.07548420727</v>
      </c>
      <c r="K77" s="28" t="n">
        <f aca="false">K36+K46+K56+K66</f>
        <v>3456.07221129884</v>
      </c>
      <c r="L77" s="28" t="n">
        <f aca="false">L36+L46+L56+L66</f>
        <v>3961.75126037931</v>
      </c>
      <c r="M77" s="28" t="n">
        <f aca="false">M36+M46+M56+M66</f>
        <v>4508.39390469079</v>
      </c>
    </row>
    <row r="78" customFormat="false" ht="15" hidden="false" customHeight="false" outlineLevel="0" collapsed="false">
      <c r="A78" s="2" t="s">
        <v>151</v>
      </c>
      <c r="B78" s="26" t="n">
        <f aca="false">B37+B47+B57+B67</f>
        <v>623174.4</v>
      </c>
      <c r="C78" s="26" t="n">
        <f aca="false">C37+C47+C57+C67</f>
        <v>1815454.08</v>
      </c>
      <c r="D78" s="26" t="n">
        <f aca="false">D37+D47+D57+D67</f>
        <v>3148425.09504</v>
      </c>
      <c r="E78" s="26" t="n">
        <f aca="false">E37+E47+E57+E67</f>
        <v>4453973.7149376</v>
      </c>
      <c r="F78" s="26" t="n">
        <f aca="false">F37+F47+F57+F67</f>
        <v>5244068.26055347</v>
      </c>
      <c r="G78" s="26" t="n">
        <f aca="false">G37+G47+G57+G67</f>
        <v>7217697.12533287</v>
      </c>
      <c r="H78" s="26" t="n">
        <f aca="false">H37+H47+H57+H67</f>
        <v>8422181.06080664</v>
      </c>
      <c r="I78" s="26" t="n">
        <f aca="false">I37+I47+I57+I67</f>
        <v>10275688.6633418</v>
      </c>
      <c r="J78" s="26" t="n">
        <f aca="false">J37+J47+J57+J67</f>
        <v>11565184.3467643</v>
      </c>
      <c r="K78" s="26" t="n">
        <f aca="false">K37+K47+K57+K67</f>
        <v>13743386.0662445</v>
      </c>
      <c r="L78" s="26" t="n">
        <f aca="false">L37+L47+L57+L67</f>
        <v>15670177.2167529</v>
      </c>
      <c r="M78" s="26" t="n">
        <f aca="false">M37+M47+M57+M67</f>
        <v>17176046.514356</v>
      </c>
    </row>
    <row r="79" customFormat="false" ht="15" hidden="false" customHeight="false" outlineLevel="0" collapsed="false">
      <c r="A79" s="3" t="s">
        <v>152</v>
      </c>
      <c r="B79" s="27" t="n">
        <f aca="false">B38+B48+B58+B68</f>
        <v>11.232</v>
      </c>
      <c r="C79" s="27" t="n">
        <f aca="false">C38+C48+C58+C68</f>
        <v>34.14528</v>
      </c>
      <c r="D79" s="27" t="n">
        <f aca="false">D38+D48+D58+D68</f>
        <v>58.0424832</v>
      </c>
      <c r="E79" s="27" t="n">
        <f aca="false">E38+E48+E58+E68</f>
        <v>83.100446208</v>
      </c>
      <c r="F79" s="27" t="n">
        <f aca="false">F38+F48+F58+F68</f>
        <v>109.50898263552</v>
      </c>
      <c r="G79" s="27" t="n">
        <f aca="false">G38+G48+G58+G68</f>
        <v>137.472463197389</v>
      </c>
      <c r="H79" s="27" t="n">
        <f aca="false">H38+H48+H58+H68</f>
        <v>167.211536877546</v>
      </c>
      <c r="I79" s="27" t="n">
        <f aca="false">I38+I48+I58+I68</f>
        <v>198.965008284093</v>
      </c>
      <c r="J79" s="27" t="n">
        <f aca="false">J38+J48+J58+J68</f>
        <v>232.991887768167</v>
      </c>
      <c r="K79" s="27" t="n">
        <f aca="false">K38+K48+K58+K68</f>
        <v>269.573632481309</v>
      </c>
      <c r="L79" s="27" t="n">
        <f aca="false">L38+L48+L58+L68</f>
        <v>309.016598309586</v>
      </c>
      <c r="M79" s="27" t="n">
        <f aca="false">M38+M48+M58+M68</f>
        <v>351.654724565882</v>
      </c>
    </row>
    <row r="80" customFormat="false" ht="15" hidden="false" customHeight="false" outlineLevel="0" collapsed="false">
      <c r="A80" s="2" t="s">
        <v>153</v>
      </c>
      <c r="B80" s="29" t="n">
        <f aca="false">B39+B49+B59+B69</f>
        <v>118.24871616</v>
      </c>
      <c r="C80" s="29" t="n">
        <f aca="false">C39+C49+C59+C69</f>
        <v>342.4293728064</v>
      </c>
      <c r="D80" s="29" t="n">
        <f aca="false">D39+D49+D59+D69</f>
        <v>591.428967460416</v>
      </c>
      <c r="E80" s="29" t="n">
        <f aca="false">E39+E49+E59+E69</f>
        <v>836.838006269351</v>
      </c>
      <c r="F80" s="29" t="n">
        <f aca="false">F39+F49+F59+F69</f>
        <v>995.872422359768</v>
      </c>
      <c r="G80" s="29" t="n">
        <f aca="false">G39+G49+G59+G69</f>
        <v>1357.55462623962</v>
      </c>
      <c r="H80" s="29" t="n">
        <f aca="false">H39+H49+H59+H69</f>
        <v>1590.13829712795</v>
      </c>
      <c r="I80" s="29" t="n">
        <f aca="false">I39+I49+I59+I69</f>
        <v>1934.93785115688</v>
      </c>
      <c r="J80" s="29" t="n">
        <f aca="false">J39+J49+J59+J69</f>
        <v>2185.98158243112</v>
      </c>
      <c r="K80" s="29" t="n">
        <f aca="false">K39+K49+K59+K69</f>
        <v>2590.49663084956</v>
      </c>
      <c r="L80" s="29" t="n">
        <f aca="false">L39+L49+L59+L69</f>
        <v>2954.95134882723</v>
      </c>
      <c r="M80" s="29" t="n">
        <f aca="false">M39+M49+M59+M69</f>
        <v>3250.84263609657</v>
      </c>
    </row>
    <row r="81" customFormat="false" ht="15" hidden="false" customHeight="false" outlineLevel="0" collapsed="false">
      <c r="A81" s="3" t="s">
        <v>154</v>
      </c>
      <c r="B81" s="30" t="n">
        <f aca="false">Inputs!$B$33+Inputs!$B$34+Inputs!$B$35+Inputs!$B$36+Inputs!$B$37+Inputs!$B$38+Inputs!$B$39</f>
        <v>100</v>
      </c>
      <c r="C81" s="30" t="n">
        <f aca="false">Inputs!$B$33+Inputs!$B$34+Inputs!$B$35+Inputs!$B$36+Inputs!$B$37+Inputs!$B$38+Inputs!$B$39</f>
        <v>100</v>
      </c>
      <c r="D81" s="30" t="n">
        <f aca="false">Inputs!$B$33+Inputs!$B$34+Inputs!$B$35+Inputs!$B$36+Inputs!$B$37+Inputs!$B$38+Inputs!$B$39</f>
        <v>100</v>
      </c>
      <c r="E81" s="30" t="n">
        <f aca="false">Inputs!$B$33+Inputs!$B$34+Inputs!$B$35+Inputs!$B$36+Inputs!$B$37+Inputs!$B$38+Inputs!$B$39</f>
        <v>100</v>
      </c>
      <c r="F81" s="30" t="n">
        <f aca="false">Inputs!$B$33+Inputs!$B$34+Inputs!$B$35+Inputs!$B$36+Inputs!$B$37+Inputs!$B$38+Inputs!$B$39</f>
        <v>100</v>
      </c>
      <c r="G81" s="30" t="n">
        <f aca="false">Inputs!$B$33+Inputs!$B$34+Inputs!$B$35+Inputs!$B$36+Inputs!$B$37+Inputs!$B$38+Inputs!$B$39</f>
        <v>100</v>
      </c>
      <c r="H81" s="30" t="n">
        <f aca="false">Inputs!$B$33+Inputs!$B$34+Inputs!$B$35+Inputs!$B$36+Inputs!$B$37+Inputs!$B$38+Inputs!$B$39</f>
        <v>100</v>
      </c>
      <c r="I81" s="30" t="n">
        <f aca="false">Inputs!$B$33+Inputs!$B$34+Inputs!$B$35+Inputs!$B$36+Inputs!$B$37+Inputs!$B$38+Inputs!$B$39</f>
        <v>100</v>
      </c>
      <c r="J81" s="30" t="n">
        <f aca="false">Inputs!$B$33+Inputs!$B$34+Inputs!$B$35+Inputs!$B$36+Inputs!$B$37+Inputs!$B$38+Inputs!$B$39</f>
        <v>100</v>
      </c>
      <c r="K81" s="30" t="n">
        <f aca="false">Inputs!$B$33+Inputs!$B$34+Inputs!$B$35+Inputs!$B$36+Inputs!$B$37+Inputs!$B$38+Inputs!$B$39</f>
        <v>100</v>
      </c>
      <c r="L81" s="30" t="n">
        <f aca="false">Inputs!$B$33+Inputs!$B$34+Inputs!$B$35+Inputs!$B$36+Inputs!$B$37+Inputs!$B$38+Inputs!$B$39</f>
        <v>100</v>
      </c>
      <c r="M81" s="30" t="n">
        <f aca="false">Inputs!$B$33+Inputs!$B$34+Inputs!$B$35+Inputs!$B$36+Inputs!$B$37+Inputs!$B$38+Inputs!$B$39</f>
        <v>100</v>
      </c>
    </row>
    <row r="82" customFormat="false" ht="15" hidden="false" customHeight="false" outlineLevel="0" collapsed="false">
      <c r="A82" s="2" t="s">
        <v>155</v>
      </c>
      <c r="B82" s="29" t="n">
        <f aca="false">MAX(0,ROUNDUP((B35*$D$17+B45*$D$18+B55*$D$19+B65*$D$20)/Inputs!$B$40,0)-1)*Inputs!$B$41</f>
        <v>0</v>
      </c>
      <c r="C82" s="29" t="n">
        <f aca="false">MAX(0,ROUNDUP((C35*$D$17+C45*$D$18+C55*$D$19+C65*$D$20)/Inputs!$B$40,0)-1)*Inputs!$B$41</f>
        <v>0</v>
      </c>
      <c r="D82" s="29" t="n">
        <f aca="false">MAX(0,ROUNDUP((D35*$D$17+D45*$D$18+D55*$D$19+D65*$D$20)/Inputs!$B$40,0)-1)*Inputs!$B$41</f>
        <v>100</v>
      </c>
      <c r="E82" s="29" t="n">
        <f aca="false">MAX(0,ROUNDUP((E35*$D$17+E45*$D$18+E55*$D$19+E65*$D$20)/Inputs!$B$40,0)-1)*Inputs!$B$41</f>
        <v>100</v>
      </c>
      <c r="F82" s="29" t="n">
        <f aca="false">MAX(0,ROUNDUP((F35*$D$17+F45*$D$18+F55*$D$19+F65*$D$20)/Inputs!$B$40,0)-1)*Inputs!$B$41</f>
        <v>200</v>
      </c>
      <c r="G82" s="29" t="n">
        <f aca="false">MAX(0,ROUNDUP((G35*$D$17+G45*$D$18+G55*$D$19+G65*$D$20)/Inputs!$B$40,0)-1)*Inputs!$B$41</f>
        <v>200</v>
      </c>
      <c r="H82" s="29" t="n">
        <f aca="false">MAX(0,ROUNDUP((H35*$D$17+H45*$D$18+H55*$D$19+H65*$D$20)/Inputs!$B$40,0)-1)*Inputs!$B$41</f>
        <v>300</v>
      </c>
      <c r="I82" s="29" t="n">
        <f aca="false">MAX(0,ROUNDUP((I35*$D$17+I45*$D$18+I55*$D$19+I65*$D$20)/Inputs!$B$40,0)-1)*Inputs!$B$41</f>
        <v>300</v>
      </c>
      <c r="J82" s="29" t="n">
        <f aca="false">MAX(0,ROUNDUP((J35*$D$17+J45*$D$18+J55*$D$19+J65*$D$20)/Inputs!$B$40,0)-1)*Inputs!$B$41</f>
        <v>400</v>
      </c>
      <c r="K82" s="29" t="n">
        <f aca="false">MAX(0,ROUNDUP((K35*$D$17+K45*$D$18+K55*$D$19+K65*$D$20)/Inputs!$B$40,0)-1)*Inputs!$B$41</f>
        <v>400</v>
      </c>
      <c r="L82" s="29" t="n">
        <f aca="false">MAX(0,ROUNDUP((L35*$D$17+L45*$D$18+L55*$D$19+L65*$D$20)/Inputs!$B$40,0)-1)*Inputs!$B$41</f>
        <v>500</v>
      </c>
      <c r="M82" s="29" t="n">
        <f aca="false">MAX(0,ROUNDUP((M35*$D$17+M45*$D$18+M55*$D$19+M65*$D$20)/Inputs!$B$40,0)-1)*Inputs!$B$41</f>
        <v>600</v>
      </c>
    </row>
    <row r="83" customFormat="false" ht="15" hidden="false" customHeight="false" outlineLevel="0" collapsed="false">
      <c r="A83" s="23" t="s">
        <v>156</v>
      </c>
      <c r="B83" s="28" t="n">
        <f aca="false">B80+B81+B82</f>
        <v>218.24871616</v>
      </c>
      <c r="C83" s="28" t="n">
        <f aca="false">C80+C81+C82</f>
        <v>442.4293728064</v>
      </c>
      <c r="D83" s="28" t="n">
        <f aca="false">D80+D81+D82</f>
        <v>791.428967460416</v>
      </c>
      <c r="E83" s="28" t="n">
        <f aca="false">E80+E81+E82</f>
        <v>1036.83800626935</v>
      </c>
      <c r="F83" s="28" t="n">
        <f aca="false">F80+F81+F82</f>
        <v>1295.87242235977</v>
      </c>
      <c r="G83" s="28" t="n">
        <f aca="false">G80+G81+G82</f>
        <v>1657.55462623962</v>
      </c>
      <c r="H83" s="28" t="n">
        <f aca="false">H80+H81+H82</f>
        <v>1990.13829712795</v>
      </c>
      <c r="I83" s="28" t="n">
        <f aca="false">I80+I81+I82</f>
        <v>2334.93785115688</v>
      </c>
      <c r="J83" s="28" t="n">
        <f aca="false">J80+J81+J82</f>
        <v>2685.98158243112</v>
      </c>
      <c r="K83" s="28" t="n">
        <f aca="false">K80+K81+K82</f>
        <v>3090.49663084956</v>
      </c>
      <c r="L83" s="28" t="n">
        <f aca="false">L80+L81+L82</f>
        <v>3554.95134882723</v>
      </c>
      <c r="M83" s="28" t="n">
        <f aca="false">M80+M81+M82</f>
        <v>3950.84263609657</v>
      </c>
    </row>
    <row r="84" customFormat="false" ht="15" hidden="false" customHeight="false" outlineLevel="0" collapsed="false">
      <c r="A84" s="23" t="s">
        <v>157</v>
      </c>
      <c r="B84" s="28" t="n">
        <f aca="false">B77-B83</f>
        <v>-74.24871616</v>
      </c>
      <c r="C84" s="28" t="n">
        <f aca="false">C77-C83</f>
        <v>-4.66937280640008</v>
      </c>
      <c r="D84" s="28" t="n">
        <f aca="false">D77-D83</f>
        <v>-47.2945674604162</v>
      </c>
      <c r="E84" s="28" t="n">
        <f aca="false">E77-E83</f>
        <v>28.5523297306488</v>
      </c>
      <c r="F84" s="28" t="n">
        <f aca="false">F77-F83</f>
        <v>108.088893480232</v>
      </c>
      <c r="G84" s="28" t="n">
        <f aca="false">G77-G83</f>
        <v>104.912850649984</v>
      </c>
      <c r="H84" s="28" t="n">
        <f aca="false">H77-H83</f>
        <v>153.599355148274</v>
      </c>
      <c r="I84" s="28" t="n">
        <f aca="false">I77-I83</f>
        <v>215.89558838277</v>
      </c>
      <c r="J84" s="28" t="n">
        <f aca="false">J77-J83</f>
        <v>301.093901776153</v>
      </c>
      <c r="K84" s="28" t="n">
        <f aca="false">K77-K83</f>
        <v>365.575580449276</v>
      </c>
      <c r="L84" s="28" t="n">
        <f aca="false">L77-L83</f>
        <v>406.799911552079</v>
      </c>
      <c r="M84" s="28" t="n">
        <f aca="false">M77-M83</f>
        <v>557.551268594219</v>
      </c>
    </row>
    <row r="85" customFormat="false" ht="15" hidden="false" customHeight="false" outlineLevel="0" collapsed="false">
      <c r="A85" s="23" t="s">
        <v>158</v>
      </c>
      <c r="B85" s="31" t="n">
        <f aca="false">IFERROR(B84/B77,0)</f>
        <v>-0.515616084444445</v>
      </c>
      <c r="C85" s="31" t="n">
        <f aca="false">IFERROR(C84/C77,0)</f>
        <v>-0.0106665131725148</v>
      </c>
      <c r="D85" s="31" t="n">
        <f aca="false">IFERROR(D84/D77,0)</f>
        <v>-0.0635564858450518</v>
      </c>
      <c r="E85" s="31" t="n">
        <f aca="false">IFERROR(E84/E77,0)</f>
        <v>0.0267998767830468</v>
      </c>
      <c r="F85" s="31" t="n">
        <f aca="false">IFERROR(F84/F77,0)</f>
        <v>0.0769885126183564</v>
      </c>
      <c r="G85" s="31" t="n">
        <f aca="false">IFERROR(G84/G77,0)</f>
        <v>0.0595261200706715</v>
      </c>
      <c r="H85" s="31" t="n">
        <f aca="false">IFERROR(H84/H77,0)</f>
        <v>0.071650257663377</v>
      </c>
      <c r="I85" s="31" t="n">
        <f aca="false">IFERROR(I84/I77,0)</f>
        <v>0.0846372738557687</v>
      </c>
      <c r="J85" s="31" t="n">
        <f aca="false">IFERROR(J84/J77,0)</f>
        <v>0.100798892886384</v>
      </c>
      <c r="K85" s="31" t="n">
        <f aca="false">IFERROR(K84/K77,0)</f>
        <v>0.105777761024238</v>
      </c>
      <c r="L85" s="31" t="n">
        <f aca="false">IFERROR(L84/L77,0)</f>
        <v>0.102681840634571</v>
      </c>
      <c r="M85" s="31" t="n">
        <f aca="false">IFERROR(M84/M77,0)</f>
        <v>0.123669599502854</v>
      </c>
    </row>
    <row r="86" customFormat="false" ht="15" hidden="false" customHeight="false" outlineLevel="0" collapsed="false">
      <c r="A86" s="2" t="s">
        <v>159</v>
      </c>
      <c r="B86" s="29" t="n">
        <f aca="false">B27*$B$9</f>
        <v>480</v>
      </c>
      <c r="C86" s="29" t="n">
        <f aca="false">C27*$B$9</f>
        <v>528</v>
      </c>
      <c r="D86" s="29" t="n">
        <f aca="false">D27*$B$9</f>
        <v>580.8</v>
      </c>
      <c r="E86" s="29" t="n">
        <f aca="false">E27*$B$9</f>
        <v>638.88</v>
      </c>
      <c r="F86" s="29" t="n">
        <f aca="false">F27*$B$9</f>
        <v>702.768</v>
      </c>
      <c r="G86" s="29" t="n">
        <f aca="false">G27*$B$9</f>
        <v>773.0448</v>
      </c>
      <c r="H86" s="29" t="n">
        <f aca="false">H27*$B$9</f>
        <v>850.34928</v>
      </c>
      <c r="I86" s="29" t="n">
        <f aca="false">I27*$B$9</f>
        <v>935.384208</v>
      </c>
      <c r="J86" s="29" t="n">
        <f aca="false">J27*$B$9</f>
        <v>1028.9226288</v>
      </c>
      <c r="K86" s="29" t="n">
        <f aca="false">K27*$B$9</f>
        <v>1131.81489168</v>
      </c>
      <c r="L86" s="29" t="n">
        <f aca="false">L27*$B$9</f>
        <v>1244.996380848</v>
      </c>
      <c r="M86" s="29" t="n">
        <f aca="false">M27*$B$9</f>
        <v>1369.4960189328</v>
      </c>
    </row>
    <row r="87" customFormat="false" ht="15" hidden="false" customHeight="false" outlineLevel="0" collapsed="false">
      <c r="A87" s="3" t="s">
        <v>160</v>
      </c>
      <c r="B87" s="30" t="n">
        <f aca="false">IF(COLUMN()-1&gt;=Inputs!$B$44,Inputs!$B$43,0)</f>
        <v>0</v>
      </c>
      <c r="C87" s="30" t="n">
        <f aca="false">IF(COLUMN()-1&gt;=Inputs!$B$44,Inputs!$B$43,0)</f>
        <v>0</v>
      </c>
      <c r="D87" s="30" t="n">
        <f aca="false">IF(COLUMN()-1&gt;=Inputs!$B$44,Inputs!$B$43,0)</f>
        <v>0</v>
      </c>
      <c r="E87" s="30" t="n">
        <f aca="false">IF(COLUMN()-1&gt;=Inputs!$B$44,Inputs!$B$43,0)</f>
        <v>1500</v>
      </c>
      <c r="F87" s="30" t="n">
        <f aca="false">IF(COLUMN()-1&gt;=Inputs!$B$44,Inputs!$B$43,0)</f>
        <v>1500</v>
      </c>
      <c r="G87" s="30" t="n">
        <f aca="false">IF(COLUMN()-1&gt;=Inputs!$B$44,Inputs!$B$43,0)</f>
        <v>1500</v>
      </c>
      <c r="H87" s="30" t="n">
        <f aca="false">IF(COLUMN()-1&gt;=Inputs!$B$44,Inputs!$B$43,0)</f>
        <v>1500</v>
      </c>
      <c r="I87" s="30" t="n">
        <f aca="false">IF(COLUMN()-1&gt;=Inputs!$B$44,Inputs!$B$43,0)</f>
        <v>1500</v>
      </c>
      <c r="J87" s="30" t="n">
        <f aca="false">IF(COLUMN()-1&gt;=Inputs!$B$44,Inputs!$B$43,0)</f>
        <v>1500</v>
      </c>
      <c r="K87" s="30" t="n">
        <f aca="false">IF(COLUMN()-1&gt;=Inputs!$B$44,Inputs!$B$43,0)</f>
        <v>1500</v>
      </c>
      <c r="L87" s="30" t="n">
        <f aca="false">IF(COLUMN()-1&gt;=Inputs!$B$44,Inputs!$B$43,0)</f>
        <v>1500</v>
      </c>
      <c r="M87" s="30" t="n">
        <f aca="false">IF(COLUMN()-1&gt;=Inputs!$B$44,Inputs!$B$43,0)</f>
        <v>1500</v>
      </c>
    </row>
    <row r="88" customFormat="false" ht="15" hidden="false" customHeight="false" outlineLevel="0" collapsed="false">
      <c r="A88" s="2" t="s">
        <v>161</v>
      </c>
      <c r="B88" s="29" t="n">
        <f aca="false">IF(COLUMN()-1&gt;=Inputs!$B$46,$B$10,0)</f>
        <v>0</v>
      </c>
      <c r="C88" s="29" t="n">
        <f aca="false">IF(COLUMN()-1&gt;=Inputs!$B$46,$B$10,0)</f>
        <v>0</v>
      </c>
      <c r="D88" s="29" t="n">
        <f aca="false">IF(COLUMN()-1&gt;=Inputs!$B$46,$B$10,0)</f>
        <v>0</v>
      </c>
      <c r="E88" s="29" t="n">
        <f aca="false">IF(COLUMN()-1&gt;=Inputs!$B$46,$B$10,0)</f>
        <v>0</v>
      </c>
      <c r="F88" s="29" t="n">
        <f aca="false">IF(COLUMN()-1&gt;=Inputs!$B$46,$B$10,0)</f>
        <v>0</v>
      </c>
      <c r="G88" s="29" t="n">
        <f aca="false">IF(COLUMN()-1&gt;=Inputs!$B$46,$B$10,0)</f>
        <v>0</v>
      </c>
      <c r="H88" s="29" t="n">
        <f aca="false">IF(COLUMN()-1&gt;=Inputs!$B$46,$B$10,0)</f>
        <v>0</v>
      </c>
      <c r="I88" s="29" t="n">
        <f aca="false">IF(COLUMN()-1&gt;=Inputs!$B$46,$B$10,0)</f>
        <v>0</v>
      </c>
      <c r="J88" s="29" t="n">
        <f aca="false">IF(COLUMN()-1&gt;=Inputs!$B$46,$B$10,0)</f>
        <v>3000</v>
      </c>
      <c r="K88" s="29" t="n">
        <f aca="false">IF(COLUMN()-1&gt;=Inputs!$B$46,$B$10,0)</f>
        <v>3000</v>
      </c>
      <c r="L88" s="29" t="n">
        <f aca="false">IF(COLUMN()-1&gt;=Inputs!$B$46,$B$10,0)</f>
        <v>3000</v>
      </c>
      <c r="M88" s="29" t="n">
        <f aca="false">IF(COLUMN()-1&gt;=Inputs!$B$46,$B$10,0)</f>
        <v>3000</v>
      </c>
    </row>
    <row r="89" customFormat="false" ht="15" hidden="false" customHeight="false" outlineLevel="0" collapsed="false">
      <c r="A89" s="3" t="s">
        <v>162</v>
      </c>
      <c r="B89" s="30" t="n">
        <f aca="false">Inputs!$B$47</f>
        <v>0</v>
      </c>
      <c r="C89" s="30" t="n">
        <f aca="false">Inputs!$B$47</f>
        <v>0</v>
      </c>
      <c r="D89" s="30" t="n">
        <f aca="false">Inputs!$B$47</f>
        <v>0</v>
      </c>
      <c r="E89" s="30" t="n">
        <f aca="false">Inputs!$B$47</f>
        <v>0</v>
      </c>
      <c r="F89" s="30" t="n">
        <f aca="false">Inputs!$B$47</f>
        <v>0</v>
      </c>
      <c r="G89" s="30" t="n">
        <f aca="false">Inputs!$B$47</f>
        <v>0</v>
      </c>
      <c r="H89" s="30" t="n">
        <f aca="false">Inputs!$B$47</f>
        <v>0</v>
      </c>
      <c r="I89" s="30" t="n">
        <f aca="false">Inputs!$B$47</f>
        <v>0</v>
      </c>
      <c r="J89" s="30" t="n">
        <f aca="false">Inputs!$B$47</f>
        <v>0</v>
      </c>
      <c r="K89" s="30" t="n">
        <f aca="false">Inputs!$B$47</f>
        <v>0</v>
      </c>
      <c r="L89" s="30" t="n">
        <f aca="false">Inputs!$B$47</f>
        <v>0</v>
      </c>
      <c r="M89" s="30" t="n">
        <f aca="false">Inputs!$B$47</f>
        <v>0</v>
      </c>
    </row>
    <row r="90" customFormat="false" ht="15" hidden="false" customHeight="false" outlineLevel="0" collapsed="false">
      <c r="A90" s="2" t="s">
        <v>163</v>
      </c>
      <c r="B90" s="29" t="n">
        <f aca="false">Inputs!$B$42</f>
        <v>150</v>
      </c>
      <c r="C90" s="29" t="n">
        <f aca="false">Inputs!$B$42</f>
        <v>150</v>
      </c>
      <c r="D90" s="29" t="n">
        <f aca="false">Inputs!$B$42</f>
        <v>150</v>
      </c>
      <c r="E90" s="29" t="n">
        <f aca="false">Inputs!$B$42</f>
        <v>150</v>
      </c>
      <c r="F90" s="29" t="n">
        <f aca="false">Inputs!$B$42</f>
        <v>150</v>
      </c>
      <c r="G90" s="29" t="n">
        <f aca="false">Inputs!$B$42</f>
        <v>150</v>
      </c>
      <c r="H90" s="29" t="n">
        <f aca="false">Inputs!$B$42</f>
        <v>150</v>
      </c>
      <c r="I90" s="29" t="n">
        <f aca="false">Inputs!$B$42</f>
        <v>150</v>
      </c>
      <c r="J90" s="29" t="n">
        <f aca="false">Inputs!$B$42</f>
        <v>150</v>
      </c>
      <c r="K90" s="29" t="n">
        <f aca="false">Inputs!$B$42</f>
        <v>150</v>
      </c>
      <c r="L90" s="29" t="n">
        <f aca="false">Inputs!$B$42</f>
        <v>150</v>
      </c>
      <c r="M90" s="29" t="n">
        <f aca="false">Inputs!$B$42</f>
        <v>150</v>
      </c>
    </row>
    <row r="91" customFormat="false" ht="15" hidden="false" customHeight="false" outlineLevel="0" collapsed="false">
      <c r="A91" s="23" t="s">
        <v>164</v>
      </c>
      <c r="B91" s="28" t="n">
        <f aca="false">B86+B87+B88+B89+B90</f>
        <v>630</v>
      </c>
      <c r="C91" s="28" t="n">
        <f aca="false">C86+C87+C88+C89+C90</f>
        <v>678</v>
      </c>
      <c r="D91" s="28" t="n">
        <f aca="false">D86+D87+D88+D89+D90</f>
        <v>730.8</v>
      </c>
      <c r="E91" s="28" t="n">
        <f aca="false">E86+E87+E88+E89+E90</f>
        <v>2288.88</v>
      </c>
      <c r="F91" s="28" t="n">
        <f aca="false">F86+F87+F88+F89+F90</f>
        <v>2352.768</v>
      </c>
      <c r="G91" s="28" t="n">
        <f aca="false">G86+G87+G88+G89+G90</f>
        <v>2423.0448</v>
      </c>
      <c r="H91" s="28" t="n">
        <f aca="false">H86+H87+H88+H89+H90</f>
        <v>2500.34928</v>
      </c>
      <c r="I91" s="28" t="n">
        <f aca="false">I86+I87+I88+I89+I90</f>
        <v>2585.384208</v>
      </c>
      <c r="J91" s="28" t="n">
        <f aca="false">J86+J87+J88+J89+J90</f>
        <v>5678.9226288</v>
      </c>
      <c r="K91" s="28" t="n">
        <f aca="false">K86+K87+K88+K89+K90</f>
        <v>5781.81489168</v>
      </c>
      <c r="L91" s="28" t="n">
        <f aca="false">L86+L87+L88+L89+L90</f>
        <v>5894.996380848</v>
      </c>
      <c r="M91" s="28" t="n">
        <f aca="false">M86+M87+M88+M89+M90</f>
        <v>6019.4960189328</v>
      </c>
    </row>
    <row r="92" customFormat="false" ht="15" hidden="false" customHeight="false" outlineLevel="0" collapsed="false">
      <c r="A92" s="23" t="s">
        <v>165</v>
      </c>
      <c r="B92" s="28" t="n">
        <f aca="false">B84-B91</f>
        <v>-704.24871616</v>
      </c>
      <c r="C92" s="28" t="n">
        <f aca="false">C84-C91</f>
        <v>-682.6693728064</v>
      </c>
      <c r="D92" s="28" t="n">
        <f aca="false">D84-D91</f>
        <v>-778.094567460416</v>
      </c>
      <c r="E92" s="28" t="n">
        <f aca="false">E84-E91</f>
        <v>-2260.32767026935</v>
      </c>
      <c r="F92" s="28" t="n">
        <f aca="false">F84-F91</f>
        <v>-2244.67910651977</v>
      </c>
      <c r="G92" s="28" t="n">
        <f aca="false">G84-G91</f>
        <v>-2318.13194935002</v>
      </c>
      <c r="H92" s="28" t="n">
        <f aca="false">H84-H91</f>
        <v>-2346.74992485173</v>
      </c>
      <c r="I92" s="28" t="n">
        <f aca="false">I84-I91</f>
        <v>-2369.48861961723</v>
      </c>
      <c r="J92" s="28" t="n">
        <f aca="false">J84-J91</f>
        <v>-5377.82872702385</v>
      </c>
      <c r="K92" s="28" t="n">
        <f aca="false">K84-K91</f>
        <v>-5416.23931123072</v>
      </c>
      <c r="L92" s="28" t="n">
        <f aca="false">L84-L91</f>
        <v>-5488.19646929592</v>
      </c>
      <c r="M92" s="28" t="n">
        <f aca="false">M84-M91</f>
        <v>-5461.94475033858</v>
      </c>
    </row>
    <row r="93" customFormat="false" ht="15" hidden="false" customHeight="false" outlineLevel="0" collapsed="false">
      <c r="A93" s="3" t="s">
        <v>166</v>
      </c>
      <c r="B93" s="30" t="n">
        <f aca="false">0+B92</f>
        <v>-704.24871616</v>
      </c>
      <c r="C93" s="30" t="n">
        <f aca="false">B93+C92</f>
        <v>-1386.9180889664</v>
      </c>
      <c r="D93" s="30" t="n">
        <f aca="false">C93+D92</f>
        <v>-2165.01265642682</v>
      </c>
      <c r="E93" s="30" t="n">
        <f aca="false">D93+E92</f>
        <v>-4425.34032669617</v>
      </c>
      <c r="F93" s="30" t="n">
        <f aca="false">E93+F92</f>
        <v>-6670.01943321594</v>
      </c>
      <c r="G93" s="30" t="n">
        <f aca="false">F93+G92</f>
        <v>-8988.15138256595</v>
      </c>
      <c r="H93" s="30" t="n">
        <f aca="false">G93+H92</f>
        <v>-11334.9013074177</v>
      </c>
      <c r="I93" s="30" t="n">
        <f aca="false">H93+I92</f>
        <v>-13704.3899270349</v>
      </c>
      <c r="J93" s="30" t="n">
        <f aca="false">I93+J92</f>
        <v>-19082.2186540588</v>
      </c>
      <c r="K93" s="30" t="n">
        <f aca="false">J93+K92</f>
        <v>-24498.4579652895</v>
      </c>
      <c r="L93" s="30" t="n">
        <f aca="false">K93+L92</f>
        <v>-29986.6544345854</v>
      </c>
      <c r="M93" s="30" t="n">
        <f aca="false">L93+M92</f>
        <v>-35448.599184924</v>
      </c>
    </row>
    <row r="94" customFormat="false" ht="15" hidden="false" customHeight="false" outlineLevel="0" collapsed="false">
      <c r="A94" s="23" t="s">
        <v>167</v>
      </c>
      <c r="B94" s="28" t="n">
        <f aca="false">Inputs!$B$49+B93</f>
        <v>14295.75128384</v>
      </c>
      <c r="C94" s="28" t="n">
        <f aca="false">Inputs!$B$49+C93</f>
        <v>13613.0819110336</v>
      </c>
      <c r="D94" s="28" t="n">
        <f aca="false">Inputs!$B$49+D93</f>
        <v>12834.9873435732</v>
      </c>
      <c r="E94" s="28" t="n">
        <f aca="false">Inputs!$B$49+E93</f>
        <v>10574.6596733038</v>
      </c>
      <c r="F94" s="28" t="n">
        <f aca="false">Inputs!$B$49+F93</f>
        <v>8329.98056678407</v>
      </c>
      <c r="G94" s="28" t="n">
        <f aca="false">Inputs!$B$49+G93</f>
        <v>6011.84861743405</v>
      </c>
      <c r="H94" s="28" t="n">
        <f aca="false">Inputs!$B$49+H93</f>
        <v>3665.09869258232</v>
      </c>
      <c r="I94" s="28" t="n">
        <f aca="false">Inputs!$B$49+I93</f>
        <v>1295.61007296509</v>
      </c>
      <c r="J94" s="28" t="n">
        <f aca="false">Inputs!$B$49+J93</f>
        <v>-4082.21865405875</v>
      </c>
      <c r="K94" s="28" t="n">
        <f aca="false">Inputs!$B$49+K93</f>
        <v>-9498.45796528948</v>
      </c>
      <c r="L94" s="28" t="n">
        <f aca="false">Inputs!$B$49+L93</f>
        <v>-14986.6544345854</v>
      </c>
      <c r="M94" s="28" t="n">
        <f aca="false">Inputs!$B$49+M93</f>
        <v>-20448.599184924</v>
      </c>
    </row>
    <row r="95" customFormat="false" ht="15" hidden="false" customHeight="false" outlineLevel="0" collapsed="false">
      <c r="A95" s="3" t="s">
        <v>168</v>
      </c>
      <c r="B95" s="30" t="n">
        <f aca="false">Inputs!$B$54+B93</f>
        <v>4295.75128384</v>
      </c>
      <c r="C95" s="30" t="n">
        <f aca="false">Inputs!$B$54+C93</f>
        <v>3613.0819110336</v>
      </c>
      <c r="D95" s="30" t="n">
        <f aca="false">Inputs!$B$54+D93</f>
        <v>2834.98734357318</v>
      </c>
      <c r="E95" s="30" t="n">
        <f aca="false">Inputs!$B$54+E93</f>
        <v>574.659673303832</v>
      </c>
      <c r="F95" s="30" t="n">
        <f aca="false">Inputs!$B$54+F93</f>
        <v>-1670.01943321594</v>
      </c>
      <c r="G95" s="30" t="n">
        <f aca="false">Inputs!$B$54+G93</f>
        <v>-3988.15138256595</v>
      </c>
      <c r="H95" s="30" t="n">
        <f aca="false">Inputs!$B$54+H93</f>
        <v>-6334.90130741768</v>
      </c>
      <c r="I95" s="30" t="n">
        <f aca="false">Inputs!$B$54+I93</f>
        <v>-8704.38992703491</v>
      </c>
      <c r="J95" s="30" t="n">
        <f aca="false">Inputs!$B$54+J93</f>
        <v>-14082.2186540588</v>
      </c>
      <c r="K95" s="30" t="n">
        <f aca="false">Inputs!$B$54+K93</f>
        <v>-19498.4579652895</v>
      </c>
      <c r="L95" s="30" t="n">
        <f aca="false">Inputs!$B$54+L93</f>
        <v>-24986.6544345854</v>
      </c>
      <c r="M95" s="30" t="n">
        <f aca="false">Inputs!$B$54+M93</f>
        <v>-30448.599184924</v>
      </c>
    </row>
    <row r="96" customFormat="false" ht="15" hidden="false" customHeight="false" outlineLevel="0" collapsed="false">
      <c r="A96" s="2" t="s">
        <v>169</v>
      </c>
      <c r="B96" s="29" t="n">
        <f aca="false">Inputs!$B$55+B93</f>
        <v>14295.75128384</v>
      </c>
      <c r="C96" s="29" t="n">
        <f aca="false">Inputs!$B$55+C93</f>
        <v>13613.0819110336</v>
      </c>
      <c r="D96" s="29" t="n">
        <f aca="false">Inputs!$B$55+D93</f>
        <v>12834.9873435732</v>
      </c>
      <c r="E96" s="29" t="n">
        <f aca="false">Inputs!$B$55+E93</f>
        <v>10574.6596733038</v>
      </c>
      <c r="F96" s="29" t="n">
        <f aca="false">Inputs!$B$55+F93</f>
        <v>8329.98056678407</v>
      </c>
      <c r="G96" s="29" t="n">
        <f aca="false">Inputs!$B$55+G93</f>
        <v>6011.84861743405</v>
      </c>
      <c r="H96" s="29" t="n">
        <f aca="false">Inputs!$B$55+H93</f>
        <v>3665.09869258232</v>
      </c>
      <c r="I96" s="29" t="n">
        <f aca="false">Inputs!$B$55+I93</f>
        <v>1295.61007296509</v>
      </c>
      <c r="J96" s="29" t="n">
        <f aca="false">Inputs!$B$55+J93</f>
        <v>-4082.21865405875</v>
      </c>
      <c r="K96" s="29" t="n">
        <f aca="false">Inputs!$B$55+K93</f>
        <v>-9498.45796528948</v>
      </c>
      <c r="L96" s="29" t="n">
        <f aca="false">Inputs!$B$55+L93</f>
        <v>-14986.6544345854</v>
      </c>
      <c r="M96" s="29" t="n">
        <f aca="false">Inputs!$B$55+M93</f>
        <v>-20448.599184924</v>
      </c>
    </row>
    <row r="97" customFormat="false" ht="15" hidden="false" customHeight="false" outlineLevel="0" collapsed="false">
      <c r="A97" s="3" t="s">
        <v>170</v>
      </c>
      <c r="B97" s="30" t="n">
        <f aca="false">Inputs!$B$56+B93</f>
        <v>29295.75128384</v>
      </c>
      <c r="C97" s="30" t="n">
        <f aca="false">Inputs!$B$56+C93</f>
        <v>28613.0819110336</v>
      </c>
      <c r="D97" s="30" t="n">
        <f aca="false">Inputs!$B$56+D93</f>
        <v>27834.9873435732</v>
      </c>
      <c r="E97" s="30" t="n">
        <f aca="false">Inputs!$B$56+E93</f>
        <v>25574.6596733038</v>
      </c>
      <c r="F97" s="30" t="n">
        <f aca="false">Inputs!$B$56+F93</f>
        <v>23329.9805667841</v>
      </c>
      <c r="G97" s="30" t="n">
        <f aca="false">Inputs!$B$56+G93</f>
        <v>21011.8486174341</v>
      </c>
      <c r="H97" s="30" t="n">
        <f aca="false">Inputs!$B$56+H93</f>
        <v>18665.0986925823</v>
      </c>
      <c r="I97" s="30" t="n">
        <f aca="false">Inputs!$B$56+I93</f>
        <v>16295.6100729651</v>
      </c>
      <c r="J97" s="30" t="n">
        <f aca="false">Inputs!$B$56+J93</f>
        <v>10917.7813459412</v>
      </c>
      <c r="K97" s="30" t="n">
        <f aca="false">Inputs!$B$56+K93</f>
        <v>5501.54203471052</v>
      </c>
      <c r="L97" s="30" t="n">
        <f aca="false">Inputs!$B$56+L93</f>
        <v>13.3455654145982</v>
      </c>
      <c r="M97" s="30" t="n">
        <f aca="false">Inputs!$B$56+M93</f>
        <v>-5448.59918492398</v>
      </c>
    </row>
    <row r="98" customFormat="false" ht="15" hidden="false" customHeight="false" outlineLevel="0" collapsed="false">
      <c r="A98" s="2" t="s">
        <v>171</v>
      </c>
      <c r="B98" s="29" t="n">
        <f aca="false">IFERROR(B77/B74,0)</f>
        <v>24</v>
      </c>
      <c r="C98" s="29" t="n">
        <f aca="false">IFERROR(C77/C74,0)</f>
        <v>24</v>
      </c>
      <c r="D98" s="29" t="n">
        <f aca="false">IFERROR(D77/D74,0)</f>
        <v>24</v>
      </c>
      <c r="E98" s="29" t="n">
        <f aca="false">IFERROR(E77/E74,0)</f>
        <v>24</v>
      </c>
      <c r="F98" s="29" t="n">
        <f aca="false">IFERROR(F77/F74,0)</f>
        <v>24</v>
      </c>
      <c r="G98" s="29" t="n">
        <f aca="false">IFERROR(G77/G74,0)</f>
        <v>24</v>
      </c>
      <c r="H98" s="29" t="n">
        <f aca="false">IFERROR(H77/H74,0)</f>
        <v>24</v>
      </c>
      <c r="I98" s="29" t="n">
        <f aca="false">IFERROR(I77/I74,0)</f>
        <v>24</v>
      </c>
      <c r="J98" s="29" t="n">
        <f aca="false">IFERROR(J77/J74,0)</f>
        <v>24</v>
      </c>
      <c r="K98" s="29" t="n">
        <f aca="false">IFERROR(K77/K74,0)</f>
        <v>24</v>
      </c>
      <c r="L98" s="29" t="n">
        <f aca="false">IFERROR(L77/L74,0)</f>
        <v>24</v>
      </c>
      <c r="M98" s="29" t="n">
        <f aca="false">IFERROR(M77/M74,0)</f>
        <v>24</v>
      </c>
    </row>
    <row r="99" customFormat="false" ht="15" hidden="false" customHeight="false" outlineLevel="0" collapsed="false">
      <c r="A99" s="3" t="s">
        <v>172</v>
      </c>
      <c r="B99" s="30" t="n">
        <f aca="false">IFERROR(B77/(B35+B45+B55+B65),0)</f>
        <v>1.92</v>
      </c>
      <c r="C99" s="30" t="n">
        <f aca="false">IFERROR(C77/(C35+C45+C55+C65),0)</f>
        <v>1.97375896117949</v>
      </c>
      <c r="D99" s="30" t="n">
        <f aca="false">IFERROR(D77/(D35+D45+D55+D65),0)</f>
        <v>2.04762679165941</v>
      </c>
      <c r="E99" s="30" t="n">
        <f aca="false">IFERROR(E77/(E35+E45+E55+E65),0)</f>
        <v>2.12116484208699</v>
      </c>
      <c r="F99" s="30" t="n">
        <f aca="false">IFERROR(F77/(F35+F45+F55+F65),0)</f>
        <v>2.19179106455951</v>
      </c>
      <c r="G99" s="30" t="n">
        <f aca="false">IFERROR(G77/(G35+G45+G55+G65),0)</f>
        <v>2.25861288508974</v>
      </c>
      <c r="H99" s="30" t="n">
        <f aca="false">IFERROR(H77/(H35+H45+H55+H65),0)</f>
        <v>2.32120135272651</v>
      </c>
      <c r="I99" s="30" t="n">
        <f aca="false">IFERROR(I77/(I35+I45+I55+I65),0)</f>
        <v>2.37934345774795</v>
      </c>
      <c r="J99" s="30" t="n">
        <f aca="false">IFERROR(J77/(J35+J45+J55+J65),0)</f>
        <v>2.43296345689596</v>
      </c>
      <c r="K99" s="30" t="n">
        <f aca="false">IFERROR(K77/(K35+K45+K55+K65),0)</f>
        <v>2.48208677265819</v>
      </c>
      <c r="L99" s="30" t="n">
        <f aca="false">IFERROR(L77/(L35+L45+L55+L65),0)</f>
        <v>2.52681718976486</v>
      </c>
      <c r="M99" s="30" t="n">
        <f aca="false">IFERROR(M77/(M35+M45+M55+M65),0)</f>
        <v>2.56731908977567</v>
      </c>
    </row>
    <row r="100" customFormat="false" ht="15" hidden="false" customHeight="false" outlineLevel="0" collapsed="false">
      <c r="A100" s="2" t="s">
        <v>173</v>
      </c>
      <c r="B100" s="29" t="n">
        <f aca="false">IFERROR(B83/B74,0)</f>
        <v>36.3747860266667</v>
      </c>
      <c r="C100" s="29" t="n">
        <f aca="false">IFERROR(C83/C74,0)</f>
        <v>24.2559963161404</v>
      </c>
      <c r="D100" s="29" t="n">
        <f aca="false">IFERROR(D83/D74,0)</f>
        <v>25.5253556602812</v>
      </c>
      <c r="E100" s="29" t="n">
        <f aca="false">IFERROR(E83/E74,0)</f>
        <v>23.3568029572069</v>
      </c>
      <c r="F100" s="29" t="n">
        <f aca="false">IFERROR(F83/F74,0)</f>
        <v>22.1522756971594</v>
      </c>
      <c r="G100" s="29" t="n">
        <f aca="false">IFERROR(G83/G74,0)</f>
        <v>22.5713731183039</v>
      </c>
      <c r="H100" s="29" t="n">
        <f aca="false">IFERROR(H83/H74,0)</f>
        <v>22.280393816079</v>
      </c>
      <c r="I100" s="29" t="n">
        <f aca="false">IFERROR(I83/I74,0)</f>
        <v>21.9687054274616</v>
      </c>
      <c r="J100" s="29" t="n">
        <f aca="false">IFERROR(J83/J74,0)</f>
        <v>21.5808265707268</v>
      </c>
      <c r="K100" s="29" t="n">
        <f aca="false">IFERROR(K83/K74,0)</f>
        <v>21.4613337354183</v>
      </c>
      <c r="L100" s="29" t="n">
        <f aca="false">IFERROR(L83/L74,0)</f>
        <v>21.5356358247703</v>
      </c>
      <c r="M100" s="29" t="n">
        <f aca="false">IFERROR(M83/M74,0)</f>
        <v>21.0319296119315</v>
      </c>
    </row>
    <row r="101" customFormat="false" ht="15" hidden="false" customHeight="false" outlineLevel="0" collapsed="false">
      <c r="A101" s="3" t="s">
        <v>174</v>
      </c>
      <c r="B101" s="30" t="n">
        <f aca="false">B98-B100</f>
        <v>-12.3747860266667</v>
      </c>
      <c r="C101" s="30" t="n">
        <f aca="false">C98-C100</f>
        <v>-0.255996316140358</v>
      </c>
      <c r="D101" s="30" t="n">
        <f aca="false">D98-D100</f>
        <v>-1.52535566028125</v>
      </c>
      <c r="E101" s="30" t="n">
        <f aca="false">E98-E100</f>
        <v>0.643197042793123</v>
      </c>
      <c r="F101" s="30" t="n">
        <f aca="false">F98-F100</f>
        <v>1.84772430284056</v>
      </c>
      <c r="G101" s="30" t="n">
        <f aca="false">G98-G100</f>
        <v>1.42862688169611</v>
      </c>
      <c r="H101" s="30" t="n">
        <f aca="false">H98-H100</f>
        <v>1.71960618392105</v>
      </c>
      <c r="I101" s="30" t="n">
        <f aca="false">I98-I100</f>
        <v>2.03129457253845</v>
      </c>
      <c r="J101" s="30" t="n">
        <f aca="false">J98-J100</f>
        <v>2.41917342927322</v>
      </c>
      <c r="K101" s="30" t="n">
        <f aca="false">K98-K100</f>
        <v>2.5386662645817</v>
      </c>
      <c r="L101" s="30" t="n">
        <f aca="false">L98-L100</f>
        <v>2.4643641752297</v>
      </c>
      <c r="M101" s="30" t="n">
        <f aca="false">M98-M100</f>
        <v>2.9680703880685</v>
      </c>
    </row>
    <row r="102" customFormat="false" ht="15" hidden="false" customHeight="false" outlineLevel="0" collapsed="false">
      <c r="A102" s="2" t="s">
        <v>175</v>
      </c>
      <c r="B102" s="32" t="n">
        <f aca="false">IF(B101&gt;0,B101/$B$7,0)</f>
        <v>0</v>
      </c>
      <c r="C102" s="32" t="n">
        <f aca="false">IF(C101&gt;0,C101/$B$7,0)</f>
        <v>0</v>
      </c>
      <c r="D102" s="32" t="n">
        <f aca="false">IF(D101&gt;0,D101/$B$7,0)</f>
        <v>0</v>
      </c>
      <c r="E102" s="32" t="n">
        <f aca="false">IF(E101&gt;0,E101/$B$7,0)</f>
        <v>10.7199507132187</v>
      </c>
      <c r="F102" s="32" t="n">
        <f aca="false">IF(F101&gt;0,F101/$B$7,0)</f>
        <v>30.7954050473426</v>
      </c>
      <c r="G102" s="32" t="n">
        <f aca="false">IF(G101&gt;0,G101/$B$7,0)</f>
        <v>23.8104480282686</v>
      </c>
      <c r="H102" s="32" t="n">
        <f aca="false">IF(H101&gt;0,H101/$B$7,0)</f>
        <v>28.6601030653508</v>
      </c>
      <c r="I102" s="32" t="n">
        <f aca="false">IF(I101&gt;0,I101/$B$7,0)</f>
        <v>33.8549095423074</v>
      </c>
      <c r="J102" s="32" t="n">
        <f aca="false">IF(J101&gt;0,J101/$B$7,0)</f>
        <v>40.3195571545537</v>
      </c>
      <c r="K102" s="32" t="n">
        <f aca="false">IF(K101&gt;0,K101/$B$7,0)</f>
        <v>42.311104409695</v>
      </c>
      <c r="L102" s="32" t="n">
        <f aca="false">IF(L101&gt;0,L101/$B$7,0)</f>
        <v>41.0727362538284</v>
      </c>
      <c r="M102" s="32" t="n">
        <f aca="false">IF(M101&gt;0,M101/$B$7,0)</f>
        <v>49.4678398011417</v>
      </c>
    </row>
    <row r="103" customFormat="false" ht="15" hidden="false" customHeight="false" outlineLevel="0" collapsed="false">
      <c r="A103" s="3" t="s">
        <v>176</v>
      </c>
      <c r="B103" s="33" t="n">
        <f aca="false">IF(B101&gt;0,B102/$B$9,0)</f>
        <v>0</v>
      </c>
      <c r="C103" s="33" t="n">
        <f aca="false">IF(C101&gt;0,C102/$B$9,0)</f>
        <v>0</v>
      </c>
      <c r="D103" s="33" t="n">
        <f aca="false">IF(D101&gt;0,D102/$B$9,0)</f>
        <v>0</v>
      </c>
      <c r="E103" s="33" t="n">
        <f aca="false">IF(E101&gt;0,E102/$B$9,0)</f>
        <v>0.267998767830468</v>
      </c>
      <c r="F103" s="33" t="n">
        <f aca="false">IF(F101&gt;0,F102/$B$9,0)</f>
        <v>0.769885126183566</v>
      </c>
      <c r="G103" s="33" t="n">
        <f aca="false">IF(G101&gt;0,G102/$B$9,0)</f>
        <v>0.595261200706715</v>
      </c>
      <c r="H103" s="33" t="n">
        <f aca="false">IF(H101&gt;0,H102/$B$9,0)</f>
        <v>0.71650257663377</v>
      </c>
      <c r="I103" s="33" t="n">
        <f aca="false">IF(I101&gt;0,I102/$B$9,0)</f>
        <v>0.846372738557686</v>
      </c>
      <c r="J103" s="33" t="n">
        <f aca="false">IF(J101&gt;0,J102/$B$9,0)</f>
        <v>1.00798892886384</v>
      </c>
      <c r="K103" s="33" t="n">
        <f aca="false">IF(K101&gt;0,K102/$B$9,0)</f>
        <v>1.05777761024238</v>
      </c>
      <c r="L103" s="33" t="n">
        <f aca="false">IF(L101&gt;0,L102/$B$9,0)</f>
        <v>1.02681840634571</v>
      </c>
      <c r="M103" s="33" t="n">
        <f aca="false">IF(M101&gt;0,M102/$B$9,0)</f>
        <v>1.23669599502854</v>
      </c>
    </row>
    <row r="104" customFormat="false" ht="15" hidden="false" customHeight="false" outlineLevel="0" collapsed="false">
      <c r="A104" s="2" t="s">
        <v>177</v>
      </c>
      <c r="B104" s="32" t="n">
        <f aca="false">IF(B101&gt;0,$B$9/B101,0)</f>
        <v>0</v>
      </c>
      <c r="C104" s="32" t="n">
        <f aca="false">IF(C101&gt;0,$B$9/C101,0)</f>
        <v>0</v>
      </c>
      <c r="D104" s="32" t="n">
        <f aca="false">IF(D101&gt;0,$B$9/D101,0)</f>
        <v>0</v>
      </c>
      <c r="E104" s="32" t="n">
        <f aca="false">IF(E101&gt;0,$B$9/E101,0)</f>
        <v>62.1893406510353</v>
      </c>
      <c r="F104" s="32" t="n">
        <f aca="false">IF(F101&gt;0,$B$9/F101,0)</f>
        <v>21.6482512778053</v>
      </c>
      <c r="G104" s="32" t="n">
        <f aca="false">IF(G101&gt;0,$B$9/G101,0)</f>
        <v>27.9989131609442</v>
      </c>
      <c r="H104" s="32" t="n">
        <f aca="false">IF(H101&gt;0,$B$9/H101,0)</f>
        <v>23.2611398900602</v>
      </c>
      <c r="I104" s="32" t="n">
        <f aca="false">IF(I101&gt;0,$B$9/I101,0)</f>
        <v>19.6918755855352</v>
      </c>
      <c r="J104" s="32" t="n">
        <f aca="false">IF(J101&gt;0,$B$9/J101,0)</f>
        <v>16.5345731380726</v>
      </c>
      <c r="K104" s="32" t="n">
        <f aca="false">IF(K101&gt;0,$B$9/K101,0)</f>
        <v>15.7563050165599</v>
      </c>
      <c r="L104" s="32" t="n">
        <f aca="false">IF(L101&gt;0,$B$9/L101,0)</f>
        <v>16.2313672638386</v>
      </c>
      <c r="M104" s="32" t="n">
        <f aca="false">IF(M101&gt;0,$B$9/M101,0)</f>
        <v>13.4767693383547</v>
      </c>
    </row>
    <row r="105" customFormat="false" ht="15" hidden="false" customHeight="false" outlineLevel="0" collapsed="false">
      <c r="A105" s="3" t="s">
        <v>178</v>
      </c>
      <c r="B105" s="27" t="n">
        <f aca="false">B94-Inputs!$B$49-B93</f>
        <v>0</v>
      </c>
      <c r="C105" s="27" t="n">
        <f aca="false">C94-Inputs!$B$49-C93</f>
        <v>0</v>
      </c>
      <c r="D105" s="27" t="n">
        <f aca="false">D94-Inputs!$B$49-D93</f>
        <v>0</v>
      </c>
      <c r="E105" s="27" t="n">
        <f aca="false">E94-Inputs!$B$49-E93</f>
        <v>0</v>
      </c>
      <c r="F105" s="27" t="n">
        <f aca="false">F94-Inputs!$B$49-F93</f>
        <v>0</v>
      </c>
      <c r="G105" s="27" t="n">
        <f aca="false">G94-Inputs!$B$49-G93</f>
        <v>0</v>
      </c>
      <c r="H105" s="27" t="n">
        <f aca="false">H94-Inputs!$B$49-H93</f>
        <v>0</v>
      </c>
      <c r="I105" s="27" t="n">
        <f aca="false">I94-Inputs!$B$49-I93</f>
        <v>0</v>
      </c>
      <c r="J105" s="27" t="n">
        <f aca="false">J94-Inputs!$B$49-J93</f>
        <v>0</v>
      </c>
      <c r="K105" s="27" t="n">
        <f aca="false">K94-Inputs!$B$49-K93</f>
        <v>0</v>
      </c>
      <c r="L105" s="27" t="n">
        <f aca="false">L94-Inputs!$B$49-L93</f>
        <v>0</v>
      </c>
      <c r="M105" s="27" t="n">
        <f aca="false">M94-Inputs!$B$49-M93</f>
        <v>0</v>
      </c>
    </row>
  </sheetData>
  <autoFilter ref="A25:M10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1" t="s">
        <v>188</v>
      </c>
      <c r="B1" s="4"/>
    </row>
    <row r="2" customFormat="false" ht="15" hidden="false" customHeight="false" outlineLevel="0" collapsed="false">
      <c r="A2" s="2" t="s">
        <v>171</v>
      </c>
      <c r="B2" s="22" t="n">
        <f aca="false">Base!M98</f>
        <v>24</v>
      </c>
    </row>
    <row r="3" customFormat="false" ht="15" hidden="false" customHeight="false" outlineLevel="0" collapsed="false">
      <c r="A3" s="3" t="s">
        <v>189</v>
      </c>
      <c r="B3" s="21" t="n">
        <f aca="false">((1-Inputs!$B$4)/Inputs!$B$6)/(Inputs!$B$4/Inputs!$B$5)</f>
        <v>3.06666666666667</v>
      </c>
    </row>
    <row r="4" customFormat="false" ht="15" hidden="false" customHeight="false" outlineLevel="0" collapsed="false">
      <c r="A4" s="2" t="s">
        <v>190</v>
      </c>
      <c r="B4" s="22" t="n">
        <f aca="false">(Base!M49+Base!M59+Base!M69)/Base!M74</f>
        <v>13.1956223830632</v>
      </c>
    </row>
    <row r="5" customFormat="false" ht="15" hidden="false" customHeight="false" outlineLevel="0" collapsed="false">
      <c r="A5" s="3" t="s">
        <v>191</v>
      </c>
      <c r="B5" s="21" t="n">
        <f aca="false">Base!M39/Base!M35</f>
        <v>0.4924</v>
      </c>
    </row>
    <row r="6" customFormat="false" ht="15" hidden="false" customHeight="false" outlineLevel="0" collapsed="false">
      <c r="A6" s="2" t="s">
        <v>192</v>
      </c>
      <c r="B6" s="22" t="n">
        <f aca="false">B2-B4-B3*B5-Inputs!$B$5*Inputs!$B$7</f>
        <v>7.69435095027014</v>
      </c>
    </row>
    <row r="7" customFormat="false" ht="15" hidden="false" customHeight="false" outlineLevel="0" collapsed="false">
      <c r="A7" s="3" t="s">
        <v>193</v>
      </c>
      <c r="B7" s="21" t="n">
        <f aca="false">Pricing!C3*Pricing!D3+Pricing!C4*Pricing!D4+Pricing!C5*Pricing!D5+B3*Pricing!D2</f>
        <v>10.8666666666667</v>
      </c>
    </row>
    <row r="8" customFormat="false" ht="15" hidden="false" customHeight="false" outlineLevel="0" collapsed="false">
      <c r="A8" s="2" t="s">
        <v>194</v>
      </c>
      <c r="B8" s="22" t="n">
        <f aca="false">Base!M81+Base!M87+Base!M88+Base!M89+Base!M90</f>
        <v>4750</v>
      </c>
    </row>
    <row r="9" customFormat="false" ht="15" hidden="false" customHeight="false" outlineLevel="0" collapsed="false">
      <c r="A9" s="3" t="s">
        <v>195</v>
      </c>
      <c r="B9" s="21" t="n">
        <f aca="false">IF(B6&gt;0,ROUNDUP(B8/B6,0),0)</f>
        <v>618</v>
      </c>
    </row>
    <row r="10" customFormat="false" ht="15" hidden="false" customHeight="false" outlineLevel="0" collapsed="false">
      <c r="A10" s="2" t="s">
        <v>196</v>
      </c>
      <c r="B10" s="22" t="n">
        <f aca="false">IF(B6&gt;0,ROUNDUP((B8+MAX(0,ROUNDUP(B9*B7/Inputs!$B$40,0)-1)*Inputs!$B$41)/B6,0),0)</f>
        <v>787</v>
      </c>
    </row>
    <row r="11" customFormat="false" ht="15" hidden="false" customHeight="false" outlineLevel="0" collapsed="false">
      <c r="A11" s="3" t="s">
        <v>197</v>
      </c>
      <c r="B11" s="21" t="n">
        <f aca="false">IF(B6&gt;0,ROUNDUP((B8+MAX(0,ROUNDUP(B10*B7/Inputs!$B$40,0)-1)*Inputs!$B$41)/B6,0),0)</f>
        <v>839</v>
      </c>
    </row>
    <row r="12" customFormat="false" ht="15" hidden="false" customHeight="false" outlineLevel="0" collapsed="false">
      <c r="A12" s="2" t="s">
        <v>198</v>
      </c>
      <c r="B12" s="22" t="n">
        <f aca="false">IF(B6&gt;0,ROUNDUP((B8+MAX(0,ROUNDUP(B11*B7/Inputs!$B$40,0)-1)*Inputs!$B$41)/B6,0),0)</f>
        <v>852</v>
      </c>
    </row>
    <row r="13" customFormat="false" ht="15" hidden="false" customHeight="false" outlineLevel="0" collapsed="false">
      <c r="A13" s="3" t="s">
        <v>199</v>
      </c>
      <c r="B13" s="21" t="n">
        <f aca="false">IF(B6&gt;0,ROUNDUP((B8+MAX(0,ROUNDUP(B12*B7/Inputs!$B$40,0)-1)*Inputs!$B$41)/B6,0),0)</f>
        <v>852</v>
      </c>
    </row>
    <row r="14" customFormat="false" ht="15" hidden="false" customHeight="false" outlineLevel="0" collapsed="false">
      <c r="A14" s="2" t="s">
        <v>200</v>
      </c>
      <c r="B14" s="22" t="n">
        <f aca="false">IF(B6&gt;0,ROUNDUP((B8+MAX(0,ROUNDUP(B13*B7/Inputs!$B$40,0)-1)*Inputs!$B$41)/B6,0),0)</f>
        <v>852</v>
      </c>
    </row>
    <row r="15" customFormat="false" ht="15" hidden="false" customHeight="false" outlineLevel="0" collapsed="false">
      <c r="A15" s="3" t="s">
        <v>201</v>
      </c>
      <c r="B15" s="21" t="n">
        <f aca="false">IF(B6&gt;0,ROUNDUP((B8+MAX(0,ROUNDUP(B14*B7/Inputs!$B$40,0)-1)*Inputs!$B$41)/B6,0),0)</f>
        <v>852</v>
      </c>
    </row>
    <row r="16" customFormat="false" ht="15" hidden="false" customHeight="false" outlineLevel="0" collapsed="false">
      <c r="A16" s="2" t="s">
        <v>202</v>
      </c>
      <c r="B16" s="22" t="n">
        <f aca="false">IF(B6&gt;0,ROUNDUP((B8+MAX(0,ROUNDUP(B15*B7/Inputs!$B$40,0)-1)*Inputs!$B$41)/B6,0),0)</f>
        <v>852</v>
      </c>
    </row>
    <row r="17" customFormat="false" ht="15" hidden="false" customHeight="false" outlineLevel="0" collapsed="false">
      <c r="A17" s="3" t="s">
        <v>203</v>
      </c>
      <c r="B17" s="21" t="n">
        <f aca="false">IF(B6&gt;0,ROUNDUP((B8+MAX(0,ROUNDUP(B16*B7/Inputs!$B$40,0)-1)*Inputs!$B$41)/B6,0),0)</f>
        <v>852</v>
      </c>
    </row>
    <row r="18" customFormat="false" ht="15" hidden="false" customHeight="false" outlineLevel="0" collapsed="false">
      <c r="A18" s="2" t="s">
        <v>204</v>
      </c>
      <c r="B18" s="22" t="n">
        <f aca="false">IF(B6&gt;0,ROUNDUP((B8+MAX(0,ROUNDUP(B17*B7/Inputs!$B$40,0)-1)*Inputs!$B$41)/B6,0),0)</f>
        <v>852</v>
      </c>
    </row>
    <row r="19" customFormat="false" ht="15" hidden="false" customHeight="false" outlineLevel="0" collapsed="false">
      <c r="A19" s="3" t="s">
        <v>205</v>
      </c>
      <c r="B19" s="21" t="n">
        <f aca="false">IF(B6&gt;0,ROUNDUP((B8+MAX(0,ROUNDUP(B18*B7/Inputs!$B$40,0)-1)*Inputs!$B$41)/B6,0),0)</f>
        <v>852</v>
      </c>
    </row>
    <row r="20" customFormat="false" ht="15" hidden="false" customHeight="false" outlineLevel="0" collapsed="false">
      <c r="A20" s="2" t="s">
        <v>206</v>
      </c>
      <c r="B20" s="22" t="n">
        <f aca="false">IF(B6&gt;0,ROUNDUP((B8+MAX(0,ROUNDUP(B19*B7/Inputs!$B$40,0)-1)*Inputs!$B$41)/B6,0),0)</f>
        <v>852</v>
      </c>
    </row>
    <row r="21" customFormat="false" ht="15" hidden="false" customHeight="false" outlineLevel="0" collapsed="false">
      <c r="A21" s="3" t="s">
        <v>207</v>
      </c>
      <c r="B21" s="21" t="n">
        <f aca="false">IF(B6&gt;0,ROUNDUP((B8+MAX(0,ROUNDUP(B20*B7/Inputs!$B$40,0)-1)*Inputs!$B$41)/B6,0),0)</f>
        <v>852</v>
      </c>
    </row>
    <row r="22" customFormat="false" ht="15" hidden="false" customHeight="false" outlineLevel="0" collapsed="false">
      <c r="A22" s="2" t="s">
        <v>208</v>
      </c>
      <c r="B22" s="22" t="n">
        <f aca="false">B21-B20</f>
        <v>0</v>
      </c>
    </row>
    <row r="23" customFormat="false" ht="15" hidden="false" customHeight="false" outlineLevel="0" collapsed="false">
      <c r="A23" s="3" t="s">
        <v>209</v>
      </c>
      <c r="B23" s="21" t="n">
        <f aca="false">B21*B6-B8-MAX(0,ROUNDUP(B21*B7/Inputs!$B$40,0)-1)*Inputs!$B$41</f>
        <v>5.58700963015599</v>
      </c>
    </row>
    <row r="24" customFormat="false" ht="15" hidden="false" customHeight="false" outlineLevel="0" collapsed="false">
      <c r="A24" s="2" t="s">
        <v>210</v>
      </c>
      <c r="B24" s="22" t="n">
        <f aca="false">(B21-1)*B6-B8-MAX(0,ROUNDUP((B21-1)*B7/Inputs!$B$40,0)-1)*Inputs!$B$41</f>
        <v>-2.10734132011385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2026-10-12T01:58:13Z</dcterms:created>
  <dc:creator>openpyxl</dc:creator>
  <dc:description/>
  <dc:language>en-US</dc:language>
  <cp:lastModifiedBy/>
  <dcterms:modified xsi:type="dcterms:W3CDTF">2026-10-12T01:58:14Z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